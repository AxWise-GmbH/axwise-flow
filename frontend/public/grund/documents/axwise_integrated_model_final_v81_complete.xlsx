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Enterprise Solutions" sheetId="2" r:id="rId5"/>
    <sheet state="visible" name="SaaS - Model" sheetId="3" r:id="rId6"/>
    <sheet state="visible" name="Cash Flow &amp; Runway" sheetId="4" r:id="rId7"/>
    <sheet state="visible" name="Yearly KPIs" sheetId="5" r:id="rId8"/>
  </sheets>
  <definedNames/>
  <calcPr/>
</workbook>
</file>

<file path=xl/sharedStrings.xml><?xml version="1.0" encoding="utf-8"?>
<sst xmlns="http://schemas.openxmlformats.org/spreadsheetml/2006/main" count="661" uniqueCount="333">
  <si>
    <t>June 2025 - May 2028</t>
  </si>
  <si>
    <t>SaaS PRICING ASSUMPTIONS</t>
  </si>
  <si>
    <t>Value</t>
  </si>
  <si>
    <t>Unit</t>
  </si>
  <si>
    <t>Notes</t>
  </si>
  <si>
    <t>Tier 1 Monthly Price</t>
  </si>
  <si>
    <t>€/month</t>
  </si>
  <si>
    <t>Individual users</t>
  </si>
  <si>
    <t>Tier 1 Annual Price</t>
  </si>
  <si>
    <t>€/year</t>
  </si>
  <si>
    <t>15% discount from monthly</t>
  </si>
  <si>
    <t>Tier 2 Monthly Price</t>
  </si>
  <si>
    <t>Team license (5-10 seats)</t>
  </si>
  <si>
    <t>Tier 2 Annual Price</t>
  </si>
  <si>
    <t>20% discount from monthly</t>
  </si>
  <si>
    <t>PLG FUNNEL ASSUMPTIONS</t>
  </si>
  <si>
    <t>Initial Free Users</t>
  </si>
  <si>
    <t>users</t>
  </si>
  <si>
    <t>Starting number at launch</t>
  </si>
  <si>
    <t>Free User Growth Rate (Y1)</t>
  </si>
  <si>
    <t>monthly</t>
  </si>
  <si>
    <t>Year 1 growth rate</t>
  </si>
  <si>
    <t>Free User Growth Rate (Y2)</t>
  </si>
  <si>
    <t>Year 2 growth rate</t>
  </si>
  <si>
    <t>Free User Growth Rate (Y3)</t>
  </si>
  <si>
    <t>Year 3 growth rate</t>
  </si>
  <si>
    <t>Free-to-Trial Conversion</t>
  </si>
  <si>
    <t>percentage</t>
  </si>
  <si>
    <t>Typical for open-source PLG</t>
  </si>
  <si>
    <t>Trial-to-Paid (Tier 1)</t>
  </si>
  <si>
    <t>Conversion to Tier 1</t>
  </si>
  <si>
    <t>Trial-to-Paid (Tier 2)</t>
  </si>
  <si>
    <t>Conversion to Tier 2</t>
  </si>
  <si>
    <t>Monthly Churn (Tier 1)</t>
  </si>
  <si>
    <t>Individual users (higher churn)</t>
  </si>
  <si>
    <t>Monthly Churn (Tier 2)</t>
  </si>
  <si>
    <t>Team licenses (lower churn)</t>
  </si>
  <si>
    <t>Billing Mix (Monthly)</t>
  </si>
  <si>
    <t>Portion choosing monthly billing</t>
  </si>
  <si>
    <t>Billing Mix (Annual)</t>
  </si>
  <si>
    <t>Portion choosing annual billing</t>
  </si>
  <si>
    <t>ENTERPRISE SOLUTION ASSUMPTIONS</t>
  </si>
  <si>
    <t>Billing Rates</t>
  </si>
  <si>
    <t>Daily Rate - Team Member</t>
  </si>
  <si>
    <t>1200</t>
  </si>
  <si>
    <t>€/day</t>
  </si>
  <si>
    <t>Billing rate for team member project</t>
  </si>
  <si>
    <t>Working Days per Month</t>
  </si>
  <si>
    <t>days</t>
  </si>
  <si>
    <t>Standard working days</t>
  </si>
  <si>
    <t>Project Parameters</t>
  </si>
  <si>
    <t>Small Project Duration</t>
  </si>
  <si>
    <t>3</t>
  </si>
  <si>
    <t>months</t>
  </si>
  <si>
    <t>Typical duration for small projects</t>
  </si>
  <si>
    <t>Medium Project Duration</t>
  </si>
  <si>
    <t>4.5</t>
  </si>
  <si>
    <t>Average duration for medium projects (3-6 months)</t>
  </si>
  <si>
    <t>Small Projects per Year</t>
  </si>
  <si>
    <t>8</t>
  </si>
  <si>
    <t>projects</t>
  </si>
  <si>
    <t>Annual capacity for small projects</t>
  </si>
  <si>
    <t>Medium Projects per Year</t>
  </si>
  <si>
    <t>4</t>
  </si>
  <si>
    <t>Annual capacity for medium projects</t>
  </si>
  <si>
    <t>Project Mix (Small)</t>
  </si>
  <si>
    <t>67%</t>
  </si>
  <si>
    <t>Distribution between small and medium projects</t>
  </si>
  <si>
    <t>Project Mix (Medium)</t>
  </si>
  <si>
    <t>33%</t>
  </si>
  <si>
    <t>Team Composition</t>
  </si>
  <si>
    <t>Small Team - Engineers</t>
  </si>
  <si>
    <t>2</t>
  </si>
  <si>
    <t>people</t>
  </si>
  <si>
    <t>Engineers per small project</t>
  </si>
  <si>
    <t>Small Team - Product Managers</t>
  </si>
  <si>
    <t>1</t>
  </si>
  <si>
    <t>person</t>
  </si>
  <si>
    <t>PMs per small project</t>
  </si>
  <si>
    <t>Medium Team - Engineers</t>
  </si>
  <si>
    <t>Engineers per medium project</t>
  </si>
  <si>
    <t>Medium Team - Product Managers</t>
  </si>
  <si>
    <t>PMs per medium project</t>
  </si>
  <si>
    <t>Medium Team - Product Designers</t>
  </si>
  <si>
    <t>Designers per medium project</t>
  </si>
  <si>
    <t>Freelancer Costs</t>
  </si>
  <si>
    <t>Engineer Hourly Rate</t>
  </si>
  <si>
    <t>40</t>
  </si>
  <si>
    <t>€/hour</t>
  </si>
  <si>
    <t>Average freelance rate (€30-50 range)</t>
  </si>
  <si>
    <t>Product Manager Hourly Rate</t>
  </si>
  <si>
    <t>45</t>
  </si>
  <si>
    <t>Average freelance rate (€35-55 range)</t>
  </si>
  <si>
    <t>Product Designer Hourly Rate</t>
  </si>
  <si>
    <t>Hours per Day</t>
  </si>
  <si>
    <t>hours</t>
  </si>
  <si>
    <t>Standard working day</t>
  </si>
  <si>
    <t>Operational Management</t>
  </si>
  <si>
    <t>BD/Account Manager Salary</t>
  </si>
  <si>
    <t>85000</t>
  </si>
  <si>
    <t>Annual salary</t>
  </si>
  <si>
    <t>BD/Account Manager per X Teams</t>
  </si>
  <si>
    <t>teams</t>
  </si>
  <si>
    <t>Number of teams one manager can oversee</t>
  </si>
  <si>
    <t>COST ASSUMPTIONS</t>
  </si>
  <si>
    <t>API Cost per User</t>
  </si>
  <si>
    <t>€/user/month</t>
  </si>
  <si>
    <t>LLM API costs</t>
  </si>
  <si>
    <t>Hosting Cost per User</t>
  </si>
  <si>
    <t>Cloud infrastructure</t>
  </si>
  <si>
    <t>Engineer Salary</t>
  </si>
  <si>
    <t>Base salary</t>
  </si>
  <si>
    <t>Marketing Salary</t>
  </si>
  <si>
    <t>Sales Salary</t>
  </si>
  <si>
    <t>Product Manager Salary</t>
  </si>
  <si>
    <t>Benefits Multiplier</t>
  </si>
  <si>
    <t>25%</t>
  </si>
  <si>
    <t>Employer taxes &amp; benefits</t>
  </si>
  <si>
    <t>STAFFING PLAN (FTE)</t>
  </si>
  <si>
    <t>Year 1</t>
  </si>
  <si>
    <t>Year 2</t>
  </si>
  <si>
    <t>Year 3</t>
  </si>
  <si>
    <t>Engineers</t>
  </si>
  <si>
    <t>Development team</t>
  </si>
  <si>
    <t>Product/Marketing</t>
  </si>
  <si>
    <t>Product &amp; marketing roles</t>
  </si>
  <si>
    <t>Sales</t>
  </si>
  <si>
    <t>Sales team</t>
  </si>
  <si>
    <t>OTHER OPEX ASSUMPTIONS</t>
  </si>
  <si>
    <t>Office/Workspace</t>
  </si>
  <si>
    <t>Co-working initially</t>
  </si>
  <si>
    <t>Software &amp; Tools</t>
  </si>
  <si>
    <t>Development tools</t>
  </si>
  <si>
    <t>Marketing Budget</t>
  </si>
  <si>
    <t>Events, content, ads</t>
  </si>
  <si>
    <t>Legal &amp; Admin</t>
  </si>
  <si>
    <t>Ongoing costs</t>
  </si>
  <si>
    <t>Travel &amp; Conferences</t>
  </si>
  <si>
    <t>Business travel</t>
  </si>
  <si>
    <t>Miscellaneous</t>
  </si>
  <si>
    <t>Other expenses</t>
  </si>
  <si>
    <t>FUNDING ASSUMPTIONS</t>
  </si>
  <si>
    <t>Initial Investment</t>
  </si>
  <si>
    <t>50000</t>
  </si>
  <si>
    <t>€</t>
  </si>
  <si>
    <t>Founders' capital (Already exausted)</t>
  </si>
  <si>
    <t>Accelerator Funding</t>
  </si>
  <si>
    <t>100000</t>
  </si>
  <si>
    <t>Constructor University</t>
  </si>
  <si>
    <t>Seed Round</t>
  </si>
  <si>
    <t>750000</t>
  </si>
  <si>
    <t>Target (€500k-€1M range)</t>
  </si>
  <si>
    <t>Seed Round Timing</t>
  </si>
  <si>
    <t>6</t>
  </si>
  <si>
    <t>month</t>
  </si>
  <si>
    <t>When seed round closes</t>
  </si>
  <si>
    <t>Daily Rate per Person</t>
  </si>
  <si>
    <t>€/day/person</t>
  </si>
  <si>
    <t>Billing rate per person (not per team)</t>
  </si>
  <si>
    <t>21</t>
  </si>
  <si>
    <t>Project Mix (Small:Medium)</t>
  </si>
  <si>
    <t>Engineer Daily Cost</t>
  </si>
  <si>
    <t>Calculated from hourly rate</t>
  </si>
  <si>
    <t>Product Manager Daily Cost</t>
  </si>
  <si>
    <t>Product Designer Daily Cost</t>
  </si>
  <si>
    <t>ENTERPRISE REVENUE &amp; COST MODEL (YEAR 1)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</si>
  <si>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</si>
  <si>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</si>
  <si>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</si>
  <si>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</si>
  <si>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</si>
  <si>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</si>
  <si>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</si>
  <si>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</si>
  <si>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</si>
  <si>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</si>
  <si>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</si>
  <si>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</si>
  <si>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Project Pipeline</t>
  </si>
  <si>
    <t>New Small Projects</t>
  </si>
  <si>
    <t>0</t>
  </si>
  <si>
    <t>New Medium Projects</t>
  </si>
  <si>
    <t>Active Small Projects</t>
  </si>
  <si>
    <t>Active Medium Projects</t>
  </si>
  <si>
    <t>Total Active Projects</t>
  </si>
  <si>
    <t>Contractors per Project Type</t>
  </si>
  <si>
    <t>Small Team - Total Members</t>
  </si>
  <si>
    <t>Medium Team - Total Members</t>
  </si>
  <si>
    <t>Active Contractors</t>
  </si>
  <si>
    <t>Small Team Members</t>
  </si>
  <si>
    <t>Medium Team Members</t>
  </si>
  <si>
    <t>Total Team Members</t>
  </si>
  <si>
    <t>Revenue Calculation</t>
  </si>
  <si>
    <t>€1200</t>
  </si>
  <si>
    <t>Small Project Revenue</t>
  </si>
  <si>
    <t>Medium Project Revenue</t>
  </si>
  <si>
    <t>Total Enterprise Revenue</t>
  </si>
  <si>
    <t>Cost Calculation</t>
  </si>
  <si>
    <t>PM Daily Cost</t>
  </si>
  <si>
    <t>Designer Daily Cost</t>
  </si>
  <si>
    <t>Engineer Costs</t>
  </si>
  <si>
    <t>€0</t>
  </si>
  <si>
    <t>Product Manager Costs</t>
  </si>
  <si>
    <t>Product Designer Costs</t>
  </si>
  <si>
    <t>BD/Account Manager Required</t>
  </si>
  <si>
    <t>BD/Account Manager Cost</t>
  </si>
  <si>
    <t>Total Enterprise Costs</t>
  </si>
  <si>
    <t>Enterprise Gross Profit</t>
  </si>
  <si>
    <t>Enterprise Gross Margin</t>
  </si>
  <si>
    <t>ENTERPRISE PROFITABILITY ANALYSIS</t>
  </si>
  <si>
    <t>Project-Level Economics</t>
  </si>
  <si>
    <t>Small Project</t>
  </si>
  <si>
    <t>Medium Project</t>
  </si>
  <si>
    <t>Duration (months)</t>
  </si>
  <si>
    <t>Team Size</t>
  </si>
  <si>
    <t>Total Revenue per Project</t>
  </si>
  <si>
    <t>Product Managers</t>
  </si>
  <si>
    <t>Product Designers</t>
  </si>
  <si>
    <t>Daily Team Cost</t>
  </si>
  <si>
    <t>Total Daily Cost</t>
  </si>
  <si>
    <t>Total Cost per Project</t>
  </si>
  <si>
    <t>Profit per Project</t>
  </si>
  <si>
    <t>Project Margin</t>
  </si>
  <si>
    <t>SCALING ANALYSIS</t>
  </si>
  <si>
    <t>Small Projects Completed</t>
  </si>
  <si>
    <t>Medium Projects Completed</t>
  </si>
  <si>
    <t>Total Projects</t>
  </si>
  <si>
    <t>Month</t>
  </si>
  <si>
    <t>Repository Visitors</t>
  </si>
  <si>
    <t>Revenue</t>
  </si>
  <si>
    <t>New trial users</t>
  </si>
  <si>
    <t>New Paid Tier  1 Users</t>
  </si>
  <si>
    <t>New Paid Tier 2 Users</t>
  </si>
  <si>
    <t>Total Paid Tier 1 Users</t>
  </si>
  <si>
    <t>Total Paid Tier 2 Users</t>
  </si>
  <si>
    <t>Staff_Costs</t>
  </si>
  <si>
    <t>Fixed_OPEX</t>
  </si>
  <si>
    <t>Total_Costs</t>
  </si>
  <si>
    <t>SaaS EBITDA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</si>
  <si>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</si>
  <si>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</si>
  <si>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</si>
  <si>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</si>
  <si>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</si>
  <si>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</si>
  <si>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</si>
  <si>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</si>
  <si>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</si>
  <si>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</si>
  <si>
    <t>2026-04-30</t>
  </si>
  <si>
    <t>2026-05-31</t>
  </si>
  <si>
    <t>2026-06-30</t>
  </si>
  <si>
    <t>2026-07-31</t>
  </si>
  <si>
    <t>2026-08-31</t>
  </si>
  <si>
    <t>2026-09-30</t>
  </si>
  <si>
    <t>2026-10-31</t>
  </si>
  <si>
    <t>2026-11-30</t>
  </si>
  <si>
    <t>2026-12-31</t>
  </si>
  <si>
    <t>2027-01-31</t>
  </si>
  <si>
    <t>2027-02-28</t>
  </si>
  <si>
    <t>2027-03-31</t>
  </si>
  <si>
    <t>2027-04-30</t>
  </si>
  <si>
    <t>2027-05-31</t>
  </si>
  <si>
    <t>2027-06-30</t>
  </si>
  <si>
    <t>2027-07-31</t>
  </si>
  <si>
    <t>2027-08-31</t>
  </si>
  <si>
    <t>2027-09-30</t>
  </si>
  <si>
    <t>2027-10-31</t>
  </si>
  <si>
    <t>2027-11-30</t>
  </si>
  <si>
    <t>2027-12-31</t>
  </si>
  <si>
    <t>2028-01-31</t>
  </si>
  <si>
    <t>2028-02-29</t>
  </si>
  <si>
    <t>2028-03-31</t>
  </si>
  <si>
    <t>2028-04-30</t>
  </si>
  <si>
    <t>2028-05-31</t>
  </si>
  <si>
    <t>OPERATING EXPENSES (OPEX)</t>
  </si>
  <si>
    <t>Personnel Costs</t>
  </si>
  <si>
    <t>Engineers (FTE)</t>
  </si>
  <si>
    <t>Product/Marketing (FTE)</t>
  </si>
  <si>
    <t>Sales (FTE)</t>
  </si>
  <si>
    <t>Overall</t>
  </si>
  <si>
    <t>Product/Marketing Costs</t>
  </si>
  <si>
    <t>Sales Costs</t>
  </si>
  <si>
    <t>Benefits &amp; Taxes</t>
  </si>
  <si>
    <t>Total Personnel Costs</t>
  </si>
  <si>
    <t>Other Operating Expenses</t>
  </si>
  <si>
    <t>Total Other OPEX</t>
  </si>
  <si>
    <t>TOTAL OPEX</t>
  </si>
  <si>
    <t>Cash Flow Table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</si>
  <si>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</si>
  <si>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</si>
  <si>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</si>
  <si>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</si>
  <si>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</si>
  <si>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</si>
  <si>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</si>
  <si>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</si>
  <si>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</si>
  <si>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</si>
  <si>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</si>
  <si>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</si>
  <si>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</si>
  <si>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</si>
  <si>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</si>
  <si>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</si>
  <si>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</si>
  <si>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</si>
  <si>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</si>
  <si>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</si>
  <si>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</si>
  <si>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</si>
  <si>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</si>
  <si>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</si>
  <si>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Opening Cash Balance</t>
  </si>
  <si>
    <t>Cash Inflows</t>
  </si>
  <si>
    <t>SaaS Revenue collected</t>
  </si>
  <si>
    <t>Enterprise Revenue collected</t>
  </si>
  <si>
    <t>Enterprise proven, need to review strategy</t>
  </si>
  <si>
    <t>Funding Received</t>
  </si>
  <si>
    <t>Cash Outflows</t>
  </si>
  <si>
    <t>SaaS COGS</t>
  </si>
  <si>
    <t>Enterprise Direct Costs</t>
  </si>
  <si>
    <t>Total other OPEX</t>
  </si>
  <si>
    <t>Net Cash Flow for the Month</t>
  </si>
  <si>
    <t>Closing Cash Balance</t>
  </si>
  <si>
    <t>Runway Calculation</t>
  </si>
  <si>
    <t>Monthly Cash Burn</t>
  </si>
  <si>
    <t>Runway (in month)</t>
  </si>
  <si>
    <t>EBITDA</t>
  </si>
  <si>
    <t>Users</t>
  </si>
  <si>
    <t>Gross_Margin</t>
  </si>
  <si>
    <t>EBITDA_Margin</t>
  </si>
  <si>
    <t>2028-12-31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</si>
</sst>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€]#,##0.00"/>
    <numFmt numFmtId="165" formatCode="#,##0.00\ [$€-1]"/>
    <numFmt numFmtId="166" formatCode="dd.MM.yyyy"/>
    <numFmt numFmtId="167" formatCode="dd.mm.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Alignment="1" applyFont="1" applyNumberFormat="1">
      <alignment readingOrder="0"/>
    </xf>
    <xf borderId="0" fillId="0" fontId="1" numFmtId="1" xfId="0" applyFont="1" applyNumberFormat="1"/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Alignment="1" applyFont="1">
      <alignment shrinkToFit="0" wrapText="1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0" xfId="0" applyAlignment="1" applyFont="1">
      <alignment horizontal="right"/>
    </xf>
    <xf borderId="0" fillId="0" fontId="1" numFmtId="1" xfId="0" applyAlignment="1" applyFont="1" applyNumberFormat="1">
      <alignment horizontal="right"/>
    </xf>
    <xf borderId="0" fillId="0" fontId="1" numFmtId="1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/>
    </xf>
    <xf borderId="0" fillId="0" fontId="1" numFmtId="165" xfId="0" applyAlignment="1" applyFont="1" applyNumberFormat="1">
      <alignment horizontal="right"/>
    </xf>
    <xf borderId="0" fillId="0" fontId="1" numFmtId="10" xfId="0" applyAlignment="1" applyFont="1" applyNumberFormat="1">
      <alignment horizontal="right"/>
    </xf>
    <xf borderId="0" fillId="0" fontId="1" numFmtId="164" xfId="0" applyFont="1" applyNumberFormat="1"/>
    <xf borderId="0" fillId="0" fontId="1" numFmtId="10" xfId="0" applyFont="1" applyNumberFormat="1"/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2" fontId="1" numFmtId="165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10.14"/>
    <col customWidth="1" min="3" max="3" width="13.14"/>
    <col customWidth="1" min="4" max="4" width="45.0"/>
    <col customWidth="1" min="5" max="5" width="23.43"/>
    <col customWidth="1" min="6" max="26" width="8.71"/>
  </cols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>
      <c r="A4" s="1" t="s">
        <v>5</v>
      </c>
      <c r="B4" s="2">
        <v>49.0</v>
      </c>
      <c r="C4" s="1" t="s">
        <v>6</v>
      </c>
      <c r="D4" s="1" t="s">
        <v>7</v>
      </c>
    </row>
    <row r="5">
      <c r="A5" s="1" t="s">
        <v>8</v>
      </c>
      <c r="B5" s="2">
        <v>499.0</v>
      </c>
      <c r="C5" s="1" t="s">
        <v>9</v>
      </c>
      <c r="D5" s="1" t="s">
        <v>10</v>
      </c>
    </row>
    <row r="6">
      <c r="A6" s="1" t="s">
        <v>11</v>
      </c>
      <c r="B6" s="3">
        <v>250.0</v>
      </c>
      <c r="C6" s="1" t="s">
        <v>6</v>
      </c>
      <c r="D6" s="1" t="s">
        <v>12</v>
      </c>
    </row>
    <row r="7">
      <c r="A7" s="1" t="s">
        <v>13</v>
      </c>
      <c r="B7" s="3">
        <v>3000.0</v>
      </c>
      <c r="C7" s="1" t="s">
        <v>9</v>
      </c>
      <c r="D7" s="1" t="s">
        <v>14</v>
      </c>
    </row>
    <row r="9">
      <c r="A9" s="1" t="s">
        <v>15</v>
      </c>
      <c r="B9" s="1" t="s">
        <v>2</v>
      </c>
      <c r="C9" s="1" t="s">
        <v>3</v>
      </c>
      <c r="D9" s="1" t="s">
        <v>4</v>
      </c>
    </row>
    <row r="10">
      <c r="A10" s="1" t="s">
        <v>16</v>
      </c>
      <c r="B10" s="4">
        <v>100.0</v>
      </c>
      <c r="C10" s="1" t="s">
        <v>17</v>
      </c>
      <c r="D10" s="1" t="s">
        <v>18</v>
      </c>
    </row>
    <row r="11">
      <c r="A11" s="1" t="s">
        <v>19</v>
      </c>
      <c r="B11" s="5">
        <v>0.15</v>
      </c>
      <c r="C11" s="1" t="s">
        <v>20</v>
      </c>
      <c r="D11" s="1" t="s">
        <v>21</v>
      </c>
    </row>
    <row r="12">
      <c r="A12" s="1" t="s">
        <v>22</v>
      </c>
      <c r="B12" s="5">
        <v>0.1</v>
      </c>
      <c r="C12" s="1" t="s">
        <v>20</v>
      </c>
      <c r="D12" s="1" t="s">
        <v>23</v>
      </c>
    </row>
    <row r="13">
      <c r="A13" s="1" t="s">
        <v>24</v>
      </c>
      <c r="B13" s="5">
        <v>0.07</v>
      </c>
      <c r="C13" s="1" t="s">
        <v>20</v>
      </c>
      <c r="D13" s="1" t="s">
        <v>25</v>
      </c>
    </row>
    <row r="14">
      <c r="A14" s="1" t="s">
        <v>26</v>
      </c>
      <c r="B14" s="5">
        <v>0.005</v>
      </c>
      <c r="C14" s="1" t="s">
        <v>27</v>
      </c>
      <c r="D14" s="1" t="s">
        <v>28</v>
      </c>
    </row>
    <row r="15">
      <c r="A15" s="1" t="s">
        <v>29</v>
      </c>
      <c r="B15" s="5">
        <v>0.2</v>
      </c>
      <c r="C15" s="1" t="s">
        <v>27</v>
      </c>
      <c r="D15" s="1" t="s">
        <v>30</v>
      </c>
    </row>
    <row r="16">
      <c r="A16" s="1" t="s">
        <v>31</v>
      </c>
      <c r="B16" s="5">
        <v>0.05</v>
      </c>
      <c r="C16" s="1" t="s">
        <v>27</v>
      </c>
      <c r="D16" s="1" t="s">
        <v>32</v>
      </c>
    </row>
    <row r="17">
      <c r="A17" s="1" t="s">
        <v>33</v>
      </c>
      <c r="B17" s="5">
        <v>0.03</v>
      </c>
      <c r="C17" s="1" t="s">
        <v>20</v>
      </c>
      <c r="D17" s="1" t="s">
        <v>34</v>
      </c>
    </row>
    <row r="18">
      <c r="A18" s="1" t="s">
        <v>35</v>
      </c>
      <c r="B18" s="5">
        <v>0.015</v>
      </c>
      <c r="C18" s="1" t="s">
        <v>20</v>
      </c>
      <c r="D18" s="1" t="s">
        <v>36</v>
      </c>
    </row>
    <row r="19">
      <c r="A19" s="1" t="s">
        <v>37</v>
      </c>
      <c r="B19" s="5">
        <v>0.6</v>
      </c>
      <c r="C19" s="1" t="s">
        <v>27</v>
      </c>
      <c r="D19" s="1" t="s">
        <v>38</v>
      </c>
    </row>
    <row r="20" ht="15.75" customHeight="1">
      <c r="A20" s="1" t="s">
        <v>39</v>
      </c>
      <c r="B20" s="5">
        <v>0.4</v>
      </c>
      <c r="C20" s="1" t="s">
        <v>27</v>
      </c>
      <c r="D20" s="1" t="s">
        <v>40</v>
      </c>
    </row>
    <row r="21" ht="15.75" customHeight="1"/>
    <row r="22" ht="15.75" customHeight="1">
      <c r="A22" s="1" t="s">
        <v>41</v>
      </c>
      <c r="B22" s="1" t="s">
        <v>2</v>
      </c>
      <c r="C22" s="1" t="s">
        <v>3</v>
      </c>
      <c r="D22" s="1" t="s">
        <v>4</v>
      </c>
    </row>
    <row r="23" ht="15.75" customHeight="1">
      <c r="A23" s="1" t="s">
        <v>42</v>
      </c>
    </row>
    <row r="24" ht="15.75" customHeight="1">
      <c r="A24" s="4" t="s">
        <v>43</v>
      </c>
      <c r="B24" s="1" t="s">
        <v>44</v>
      </c>
      <c r="C24" s="1" t="s">
        <v>45</v>
      </c>
      <c r="D24" s="4" t="s">
        <v>46</v>
      </c>
    </row>
    <row r="25" ht="15.75" customHeight="1"/>
    <row r="26" ht="15.75" customHeight="1">
      <c r="A26" s="1" t="s">
        <v>47</v>
      </c>
      <c r="B26" s="3">
        <v>21.0</v>
      </c>
      <c r="C26" s="1" t="s">
        <v>48</v>
      </c>
      <c r="D26" s="1" t="s">
        <v>49</v>
      </c>
    </row>
    <row r="27" ht="15.75" customHeight="1"/>
    <row r="28" ht="15.75" customHeight="1">
      <c r="A28" s="1" t="s">
        <v>50</v>
      </c>
    </row>
    <row r="29" ht="15.75" customHeight="1">
      <c r="A29" s="1" t="s">
        <v>51</v>
      </c>
      <c r="B29" s="1" t="s">
        <v>52</v>
      </c>
      <c r="C29" s="1" t="s">
        <v>53</v>
      </c>
      <c r="D29" s="1" t="s">
        <v>54</v>
      </c>
    </row>
    <row r="30" ht="15.75" customHeight="1">
      <c r="A30" s="1" t="s">
        <v>55</v>
      </c>
      <c r="B30" s="1" t="s">
        <v>56</v>
      </c>
      <c r="C30" s="1" t="s">
        <v>53</v>
      </c>
      <c r="D30" s="1" t="s">
        <v>57</v>
      </c>
    </row>
    <row r="31" ht="15.75" customHeight="1">
      <c r="A31" s="1" t="s">
        <v>58</v>
      </c>
      <c r="B31" s="1" t="s">
        <v>59</v>
      </c>
      <c r="C31" s="1" t="s">
        <v>60</v>
      </c>
      <c r="D31" s="1" t="s">
        <v>61</v>
      </c>
    </row>
    <row r="32" ht="15.75" customHeight="1">
      <c r="A32" s="1" t="s">
        <v>62</v>
      </c>
      <c r="B32" s="1" t="s">
        <v>63</v>
      </c>
      <c r="C32" s="1" t="s">
        <v>60</v>
      </c>
      <c r="D32" s="1" t="s">
        <v>64</v>
      </c>
    </row>
    <row r="33" ht="15.75" customHeight="1">
      <c r="A33" s="4" t="s">
        <v>65</v>
      </c>
      <c r="B33" s="1" t="s">
        <v>66</v>
      </c>
      <c r="C33" s="1" t="s">
        <v>60</v>
      </c>
      <c r="D33" s="1" t="s">
        <v>67</v>
      </c>
    </row>
    <row r="34" ht="15.75" customHeight="1">
      <c r="A34" s="4" t="s">
        <v>68</v>
      </c>
      <c r="B34" s="1" t="s">
        <v>69</v>
      </c>
      <c r="C34" s="1" t="s">
        <v>60</v>
      </c>
      <c r="D34" s="1" t="s">
        <v>67</v>
      </c>
    </row>
    <row r="35" ht="15.75" customHeight="1"/>
    <row r="36" ht="15.75" customHeight="1">
      <c r="A36" s="1" t="s">
        <v>70</v>
      </c>
    </row>
    <row r="37" ht="15.75" customHeight="1">
      <c r="A37" s="1" t="s">
        <v>71</v>
      </c>
      <c r="B37" s="1" t="s">
        <v>72</v>
      </c>
      <c r="C37" s="1" t="s">
        <v>73</v>
      </c>
      <c r="D37" s="1" t="s">
        <v>74</v>
      </c>
    </row>
    <row r="38" ht="15.75" customHeight="1">
      <c r="A38" s="1" t="s">
        <v>75</v>
      </c>
      <c r="B38" s="1" t="s">
        <v>76</v>
      </c>
      <c r="C38" s="1" t="s">
        <v>77</v>
      </c>
      <c r="D38" s="1" t="s">
        <v>78</v>
      </c>
    </row>
    <row r="39" ht="15.75" customHeight="1">
      <c r="A39" s="1" t="s">
        <v>79</v>
      </c>
      <c r="B39" s="1" t="s">
        <v>52</v>
      </c>
      <c r="C39" s="1" t="s">
        <v>73</v>
      </c>
      <c r="D39" s="1" t="s">
        <v>80</v>
      </c>
    </row>
    <row r="40" ht="15.75" customHeight="1">
      <c r="A40" s="1" t="s">
        <v>81</v>
      </c>
      <c r="B40" s="1" t="s">
        <v>76</v>
      </c>
      <c r="C40" s="1" t="s">
        <v>77</v>
      </c>
      <c r="D40" s="1" t="s">
        <v>82</v>
      </c>
    </row>
    <row r="41" ht="15.75" customHeight="1">
      <c r="A41" s="1" t="s">
        <v>83</v>
      </c>
      <c r="B41" s="1" t="s">
        <v>76</v>
      </c>
      <c r="C41" s="1" t="s">
        <v>77</v>
      </c>
      <c r="D41" s="1" t="s">
        <v>84</v>
      </c>
    </row>
    <row r="42" ht="15.75" customHeight="1"/>
    <row r="43" ht="15.75" customHeight="1">
      <c r="A43" s="1" t="s">
        <v>85</v>
      </c>
    </row>
    <row r="44" ht="15.75" customHeight="1">
      <c r="A44" s="1" t="s">
        <v>86</v>
      </c>
      <c r="B44" s="1" t="s">
        <v>87</v>
      </c>
      <c r="C44" s="1" t="s">
        <v>88</v>
      </c>
      <c r="D44" s="1" t="s">
        <v>89</v>
      </c>
    </row>
    <row r="45" ht="15.75" customHeight="1">
      <c r="A45" s="1" t="s">
        <v>90</v>
      </c>
      <c r="B45" s="1" t="s">
        <v>91</v>
      </c>
      <c r="C45" s="1" t="s">
        <v>88</v>
      </c>
      <c r="D45" s="1" t="s">
        <v>92</v>
      </c>
    </row>
    <row r="46" ht="15.75" customHeight="1">
      <c r="A46" s="1" t="s">
        <v>93</v>
      </c>
      <c r="B46" s="1" t="s">
        <v>87</v>
      </c>
      <c r="C46" s="1" t="s">
        <v>88</v>
      </c>
      <c r="D46" s="1" t="s">
        <v>89</v>
      </c>
    </row>
    <row r="47" ht="15.75" customHeight="1">
      <c r="A47" s="1" t="s">
        <v>94</v>
      </c>
      <c r="B47" s="1" t="s">
        <v>59</v>
      </c>
      <c r="C47" s="1" t="s">
        <v>95</v>
      </c>
      <c r="D47" s="1" t="s">
        <v>96</v>
      </c>
    </row>
    <row r="48" ht="15.75" customHeight="1"/>
    <row r="49" ht="15.75" customHeight="1">
      <c r="A49" s="1" t="s">
        <v>97</v>
      </c>
    </row>
    <row r="50" ht="15.75" customHeight="1">
      <c r="A50" s="1" t="s">
        <v>98</v>
      </c>
      <c r="B50" s="1" t="s">
        <v>99</v>
      </c>
      <c r="C50" s="1" t="s">
        <v>9</v>
      </c>
      <c r="D50" s="1" t="s">
        <v>100</v>
      </c>
    </row>
    <row r="51" ht="15.75" customHeight="1">
      <c r="A51" s="1" t="s">
        <v>101</v>
      </c>
      <c r="B51" s="1" t="s">
        <v>52</v>
      </c>
      <c r="C51" s="1" t="s">
        <v>102</v>
      </c>
      <c r="D51" s="1" t="s">
        <v>103</v>
      </c>
    </row>
    <row r="52" ht="15.75" customHeight="1"/>
    <row r="53" ht="15.75" customHeight="1">
      <c r="A53" s="1" t="s">
        <v>104</v>
      </c>
      <c r="B53" s="1" t="s">
        <v>2</v>
      </c>
      <c r="C53" s="1" t="s">
        <v>3</v>
      </c>
      <c r="D53" s="1" t="s">
        <v>4</v>
      </c>
    </row>
    <row r="54" ht="15.75" customHeight="1">
      <c r="A54" s="1" t="s">
        <v>105</v>
      </c>
      <c r="B54" s="6">
        <v>5.0</v>
      </c>
      <c r="C54" s="1" t="s">
        <v>106</v>
      </c>
      <c r="D54" s="1" t="s">
        <v>107</v>
      </c>
    </row>
    <row r="55" ht="15.75" customHeight="1">
      <c r="A55" s="1" t="s">
        <v>108</v>
      </c>
      <c r="B55" s="6">
        <v>7.5</v>
      </c>
      <c r="C55" s="1" t="s">
        <v>106</v>
      </c>
      <c r="D55" s="1" t="s">
        <v>109</v>
      </c>
    </row>
    <row r="56" ht="15.75" customHeight="1">
      <c r="A56" s="1" t="s">
        <v>110</v>
      </c>
      <c r="B56" s="7">
        <v>80000.0</v>
      </c>
      <c r="C56" s="1" t="s">
        <v>9</v>
      </c>
      <c r="D56" s="1" t="s">
        <v>111</v>
      </c>
    </row>
    <row r="57" ht="15.75" customHeight="1">
      <c r="A57" s="1" t="s">
        <v>112</v>
      </c>
      <c r="B57" s="7">
        <v>50000.0</v>
      </c>
      <c r="C57" s="1" t="s">
        <v>9</v>
      </c>
      <c r="D57" s="1" t="s">
        <v>111</v>
      </c>
    </row>
    <row r="58" ht="15.75" customHeight="1">
      <c r="A58" s="1" t="s">
        <v>113</v>
      </c>
      <c r="B58" s="7">
        <v>70000.0</v>
      </c>
      <c r="C58" s="1" t="s">
        <v>9</v>
      </c>
      <c r="D58" s="1" t="s">
        <v>111</v>
      </c>
    </row>
    <row r="59" ht="15.75" customHeight="1">
      <c r="A59" s="1" t="s">
        <v>114</v>
      </c>
      <c r="B59" s="7">
        <v>85000.0</v>
      </c>
      <c r="C59" s="1" t="s">
        <v>9</v>
      </c>
      <c r="D59" s="1" t="s">
        <v>111</v>
      </c>
    </row>
    <row r="60" ht="15.75" customHeight="1">
      <c r="A60" s="1" t="s">
        <v>115</v>
      </c>
      <c r="B60" s="1" t="s">
        <v>116</v>
      </c>
      <c r="C60" s="1" t="s">
        <v>27</v>
      </c>
      <c r="D60" s="1" t="s">
        <v>117</v>
      </c>
    </row>
    <row r="61" ht="15.75" customHeight="1"/>
    <row r="62" ht="15.75" customHeight="1">
      <c r="A62" s="1" t="s">
        <v>118</v>
      </c>
      <c r="B62" s="1" t="s">
        <v>119</v>
      </c>
      <c r="C62" s="1" t="s">
        <v>120</v>
      </c>
      <c r="D62" s="1" t="s">
        <v>121</v>
      </c>
      <c r="E62" s="1" t="s">
        <v>4</v>
      </c>
    </row>
    <row r="63" ht="15.75" customHeight="1">
      <c r="A63" s="1" t="s">
        <v>122</v>
      </c>
      <c r="B63" s="3">
        <v>3.0</v>
      </c>
      <c r="C63" s="3">
        <v>5.0</v>
      </c>
      <c r="D63" s="3">
        <v>8.0</v>
      </c>
      <c r="E63" s="1" t="s">
        <v>123</v>
      </c>
    </row>
    <row r="64" ht="15.75" customHeight="1">
      <c r="A64" s="1" t="s">
        <v>124</v>
      </c>
      <c r="B64" s="3">
        <v>1.0</v>
      </c>
      <c r="C64" s="3">
        <v>2.0</v>
      </c>
      <c r="D64" s="3">
        <v>3.0</v>
      </c>
      <c r="E64" s="1" t="s">
        <v>125</v>
      </c>
    </row>
    <row r="65" ht="15.75" customHeight="1">
      <c r="A65" s="1" t="s">
        <v>126</v>
      </c>
      <c r="B65" s="3">
        <v>1.0</v>
      </c>
      <c r="C65" s="3">
        <v>2.0</v>
      </c>
      <c r="D65" s="3">
        <v>3.0</v>
      </c>
      <c r="E65" s="1" t="s">
        <v>127</v>
      </c>
    </row>
    <row r="66" ht="15.75" customHeight="1"/>
    <row r="67" ht="15.75" customHeight="1">
      <c r="A67" s="1" t="s">
        <v>128</v>
      </c>
      <c r="B67" s="1" t="s">
        <v>2</v>
      </c>
      <c r="C67" s="1" t="s">
        <v>3</v>
      </c>
      <c r="D67" s="1" t="s">
        <v>4</v>
      </c>
    </row>
    <row r="68" ht="15.75" customHeight="1">
      <c r="A68" s="1" t="s">
        <v>129</v>
      </c>
      <c r="B68" s="7">
        <v>1000.0</v>
      </c>
      <c r="C68" s="1" t="s">
        <v>6</v>
      </c>
      <c r="D68" s="1" t="s">
        <v>130</v>
      </c>
    </row>
    <row r="69" ht="15.75" customHeight="1">
      <c r="A69" s="1" t="s">
        <v>131</v>
      </c>
      <c r="B69" s="7">
        <v>500.0</v>
      </c>
      <c r="C69" s="1" t="s">
        <v>6</v>
      </c>
      <c r="D69" s="1" t="s">
        <v>132</v>
      </c>
    </row>
    <row r="70" ht="15.75" customHeight="1">
      <c r="A70" s="1" t="s">
        <v>133</v>
      </c>
      <c r="B70" s="7">
        <v>3000.0</v>
      </c>
      <c r="C70" s="1" t="s">
        <v>6</v>
      </c>
      <c r="D70" s="1" t="s">
        <v>134</v>
      </c>
    </row>
    <row r="71" ht="15.75" customHeight="1">
      <c r="A71" s="1" t="s">
        <v>135</v>
      </c>
      <c r="B71" s="7">
        <v>500.0</v>
      </c>
      <c r="C71" s="1" t="s">
        <v>6</v>
      </c>
      <c r="D71" s="1" t="s">
        <v>136</v>
      </c>
    </row>
    <row r="72" ht="15.75" customHeight="1">
      <c r="A72" s="1" t="s">
        <v>137</v>
      </c>
      <c r="B72" s="7">
        <v>1000.0</v>
      </c>
      <c r="C72" s="1" t="s">
        <v>6</v>
      </c>
      <c r="D72" s="1" t="s">
        <v>138</v>
      </c>
    </row>
    <row r="73" ht="15.75" customHeight="1">
      <c r="A73" s="1" t="s">
        <v>139</v>
      </c>
      <c r="B73" s="7">
        <v>500.0</v>
      </c>
      <c r="C73" s="1" t="s">
        <v>6</v>
      </c>
      <c r="D73" s="1" t="s">
        <v>140</v>
      </c>
    </row>
    <row r="74" ht="15.75" customHeight="1"/>
    <row r="75" ht="15.75" customHeight="1">
      <c r="A75" s="1" t="s">
        <v>141</v>
      </c>
      <c r="B75" s="1" t="s">
        <v>2</v>
      </c>
      <c r="C75" s="1" t="s">
        <v>3</v>
      </c>
      <c r="D75" s="1" t="s">
        <v>4</v>
      </c>
    </row>
    <row r="76" ht="15.75" customHeight="1">
      <c r="A76" s="1" t="s">
        <v>142</v>
      </c>
      <c r="B76" s="1" t="s">
        <v>143</v>
      </c>
      <c r="C76" s="1" t="s">
        <v>144</v>
      </c>
      <c r="D76" s="4" t="s">
        <v>145</v>
      </c>
    </row>
    <row r="77" ht="15.75" customHeight="1">
      <c r="A77" s="1" t="s">
        <v>146</v>
      </c>
      <c r="B77" s="1" t="s">
        <v>147</v>
      </c>
      <c r="C77" s="1" t="s">
        <v>144</v>
      </c>
      <c r="D77" s="1" t="s">
        <v>148</v>
      </c>
    </row>
    <row r="78" ht="15.75" customHeight="1">
      <c r="A78" s="1" t="s">
        <v>149</v>
      </c>
      <c r="B78" s="1" t="s">
        <v>150</v>
      </c>
      <c r="C78" s="1" t="s">
        <v>144</v>
      </c>
      <c r="D78" s="1" t="s">
        <v>151</v>
      </c>
    </row>
    <row r="79" ht="15.75" customHeight="1">
      <c r="A79" s="1" t="s">
        <v>152</v>
      </c>
      <c r="B79" s="1" t="s">
        <v>153</v>
      </c>
      <c r="C79" s="1" t="s">
        <v>154</v>
      </c>
      <c r="D79" s="1" t="s">
        <v>155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29"/>
    <col customWidth="1" min="2" max="2" width="15.43"/>
    <col customWidth="1" min="3" max="3" width="17.0"/>
    <col customWidth="1" min="4" max="4" width="18.57"/>
    <col customWidth="1" min="5" max="7" width="12.29"/>
    <col customWidth="1" min="8" max="8" width="10.71"/>
    <col customWidth="1" min="9" max="11" width="12.29"/>
    <col customWidth="1" min="12" max="12" width="13.71"/>
    <col customWidth="1" min="13" max="25" width="10.71"/>
  </cols>
  <sheetData>
    <row r="1">
      <c r="A1" s="1" t="s">
        <v>41</v>
      </c>
      <c r="B1" s="1" t="s">
        <v>2</v>
      </c>
      <c r="C1" s="1" t="s">
        <v>3</v>
      </c>
      <c r="D1" s="1" t="s">
        <v>4</v>
      </c>
    </row>
    <row r="3">
      <c r="A3" s="1" t="s">
        <v>42</v>
      </c>
    </row>
    <row r="4">
      <c r="A4" s="1" t="s">
        <v>156</v>
      </c>
      <c r="B4" s="1" t="s">
        <v>44</v>
      </c>
      <c r="C4" s="1" t="s">
        <v>157</v>
      </c>
      <c r="D4" s="1" t="s">
        <v>158</v>
      </c>
    </row>
    <row r="5">
      <c r="A5" s="1" t="s">
        <v>47</v>
      </c>
      <c r="B5" s="1" t="s">
        <v>159</v>
      </c>
      <c r="C5" s="1" t="s">
        <v>48</v>
      </c>
      <c r="D5" s="1" t="s">
        <v>49</v>
      </c>
    </row>
    <row r="7">
      <c r="A7" s="1" t="s">
        <v>50</v>
      </c>
    </row>
    <row r="8">
      <c r="A8" s="1" t="s">
        <v>51</v>
      </c>
      <c r="B8" s="1" t="s">
        <v>52</v>
      </c>
      <c r="C8" s="1" t="s">
        <v>53</v>
      </c>
      <c r="D8" s="1" t="s">
        <v>54</v>
      </c>
    </row>
    <row r="9">
      <c r="A9" s="1" t="s">
        <v>55</v>
      </c>
      <c r="B9" s="1" t="s">
        <v>56</v>
      </c>
      <c r="C9" s="1" t="s">
        <v>53</v>
      </c>
      <c r="D9" s="1" t="s">
        <v>57</v>
      </c>
    </row>
    <row r="10">
      <c r="A10" s="1" t="s">
        <v>58</v>
      </c>
      <c r="B10" s="1" t="s">
        <v>59</v>
      </c>
      <c r="C10" s="1" t="s">
        <v>60</v>
      </c>
      <c r="D10" s="1" t="s">
        <v>61</v>
      </c>
    </row>
    <row r="11">
      <c r="A11" s="1" t="s">
        <v>62</v>
      </c>
      <c r="B11" s="1" t="s">
        <v>63</v>
      </c>
      <c r="C11" s="1" t="s">
        <v>60</v>
      </c>
      <c r="D11" s="1" t="s">
        <v>64</v>
      </c>
    </row>
    <row r="12">
      <c r="A12" s="1" t="s">
        <v>160</v>
      </c>
      <c r="B12" s="1" t="s">
        <v>66</v>
      </c>
      <c r="C12" s="1" t="s">
        <v>69</v>
      </c>
      <c r="D12" s="1" t="s">
        <v>67</v>
      </c>
    </row>
    <row r="14">
      <c r="A14" s="1" t="s">
        <v>70</v>
      </c>
    </row>
    <row r="15">
      <c r="A15" s="1" t="s">
        <v>71</v>
      </c>
      <c r="B15" s="1" t="s">
        <v>72</v>
      </c>
      <c r="C15" s="1" t="s">
        <v>73</v>
      </c>
      <c r="D15" s="1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</row>
    <row r="17">
      <c r="A17" s="1" t="s">
        <v>79</v>
      </c>
      <c r="B17" s="1" t="s">
        <v>52</v>
      </c>
      <c r="C17" s="1" t="s">
        <v>73</v>
      </c>
      <c r="D17" s="1" t="s">
        <v>80</v>
      </c>
    </row>
    <row r="18">
      <c r="A18" s="1" t="s">
        <v>81</v>
      </c>
      <c r="B18" s="1" t="s">
        <v>76</v>
      </c>
      <c r="C18" s="1" t="s">
        <v>77</v>
      </c>
      <c r="D18" s="1" t="s">
        <v>82</v>
      </c>
    </row>
    <row r="19">
      <c r="A19" s="1" t="s">
        <v>83</v>
      </c>
      <c r="B19" s="1" t="s">
        <v>76</v>
      </c>
      <c r="C19" s="1" t="s">
        <v>77</v>
      </c>
      <c r="D19" s="1" t="s">
        <v>84</v>
      </c>
    </row>
    <row r="20" ht="15.75" customHeight="1"/>
    <row r="21" ht="15.75" customHeight="1">
      <c r="A21" s="1" t="s">
        <v>85</v>
      </c>
    </row>
    <row r="22" ht="15.75" customHeight="1">
      <c r="A22" s="1" t="s">
        <v>86</v>
      </c>
      <c r="B22" s="1" t="s">
        <v>87</v>
      </c>
      <c r="C22" s="1" t="s">
        <v>88</v>
      </c>
      <c r="D22" s="1" t="s">
        <v>89</v>
      </c>
    </row>
    <row r="23" ht="15.75" customHeight="1">
      <c r="A23" s="1" t="s">
        <v>90</v>
      </c>
      <c r="B23" s="1" t="s">
        <v>91</v>
      </c>
      <c r="C23" s="1" t="s">
        <v>88</v>
      </c>
      <c r="D23" s="1" t="s">
        <v>92</v>
      </c>
    </row>
    <row r="24" ht="15.75" customHeight="1">
      <c r="A24" s="1" t="s">
        <v>93</v>
      </c>
      <c r="B24" s="1" t="s">
        <v>87</v>
      </c>
      <c r="C24" s="1" t="s">
        <v>88</v>
      </c>
      <c r="D24" s="1" t="s">
        <v>89</v>
      </c>
    </row>
    <row r="25" ht="15.75" customHeight="1">
      <c r="A25" s="1" t="s">
        <v>94</v>
      </c>
      <c r="B25" s="1" t="s">
        <v>59</v>
      </c>
      <c r="C25" s="1" t="s">
        <v>95</v>
      </c>
      <c r="D25" s="1" t="s">
        <v>96</v>
      </c>
    </row>
    <row r="26" ht="15.75" customHeight="1"/>
    <row r="27" ht="15.75" customHeight="1">
      <c r="A27" s="1" t="s">
        <v>161</v>
      </c>
      <c r="B27" s="1">
        <f t="shared" ref="B27:B29" si="1">B22*$B$25</f>
        <v>320</v>
      </c>
      <c r="C27" s="1" t="s">
        <v>45</v>
      </c>
      <c r="D27" s="1" t="s">
        <v>162</v>
      </c>
    </row>
    <row r="28" ht="15.75" customHeight="1">
      <c r="A28" s="1" t="s">
        <v>163</v>
      </c>
      <c r="B28" s="1">
        <f t="shared" si="1"/>
        <v>360</v>
      </c>
      <c r="C28" s="1" t="s">
        <v>45</v>
      </c>
      <c r="D28" s="1" t="s">
        <v>162</v>
      </c>
    </row>
    <row r="29" ht="15.75" customHeight="1">
      <c r="A29" s="1" t="s">
        <v>164</v>
      </c>
      <c r="B29" s="1">
        <f t="shared" si="1"/>
        <v>320</v>
      </c>
      <c r="C29" s="1" t="s">
        <v>45</v>
      </c>
      <c r="D29" s="1" t="s">
        <v>162</v>
      </c>
    </row>
    <row r="30" ht="15.75" customHeight="1"/>
    <row r="31" ht="15.75" customHeight="1">
      <c r="A31" s="1" t="s">
        <v>97</v>
      </c>
    </row>
    <row r="32" ht="15.75" customHeight="1">
      <c r="A32" s="1" t="s">
        <v>98</v>
      </c>
      <c r="B32" s="1" t="s">
        <v>99</v>
      </c>
      <c r="C32" s="1" t="s">
        <v>9</v>
      </c>
      <c r="D32" s="1" t="s">
        <v>100</v>
      </c>
    </row>
    <row r="33" ht="15.75" customHeight="1">
      <c r="A33" s="1" t="s">
        <v>101</v>
      </c>
      <c r="B33" s="1" t="s">
        <v>52</v>
      </c>
      <c r="C33" s="1" t="s">
        <v>102</v>
      </c>
      <c r="D33" s="8" t="s">
        <v>103</v>
      </c>
    </row>
    <row r="34" ht="15.75" customHeight="1">
      <c r="A34" s="1" t="s">
        <v>115</v>
      </c>
      <c r="B34" s="1" t="s">
        <v>116</v>
      </c>
      <c r="C34" s="1" t="s">
        <v>27</v>
      </c>
      <c r="D34" s="1" t="s">
        <v>117</v>
      </c>
    </row>
    <row r="35" ht="15.75" customHeight="1"/>
    <row r="36" ht="15.75" customHeight="1">
      <c r="A36" s="1" t="s">
        <v>165</v>
      </c>
    </row>
    <row r="37" ht="15.75" customHeight="1"/>
    <row r="38" ht="15.75" customHeight="1">
      <c r="B38" s="1" t="s">
        <v>166</v>
      </c>
      <c r="C38" s="1" t="s">
        <v>167</v>
      </c>
      <c r="D38" s="1" t="s">
        <v>168</v>
      </c>
      <c r="E38" s="1" t="s">
        <v>169</v>
      </c>
      <c r="F38" s="1" t="s">
        <v>170</v>
      </c>
      <c r="G38" s="1" t="s">
        <v>171</v>
      </c>
      <c r="H38" s="1" t="s">
        <v>172</v>
      </c>
      <c r="I38" s="1" t="s">
        <v>173</v>
      </c>
      <c r="J38" s="1" t="s">
        <v>174</v>
      </c>
      <c r="K38" s="1" t="s">
        <v>175</v>
      </c>
      <c r="L38" s="1" t="s">
        <v>176</v>
      </c>
      <c r="M38" s="1" t="s">
        <v>177</v>
      </c>
    </row>
    <row r="39" ht="15.75" customHeight="1">
      <c r="B39" s="9">
        <v>45838.0</v>
      </c>
      <c r="C39" s="10">
        <v>45869.0</v>
      </c>
      <c r="D39" s="9">
        <v>45900.0</v>
      </c>
      <c r="E39" s="10">
        <v>45930.0</v>
      </c>
      <c r="F39" s="9">
        <v>45961.0</v>
      </c>
      <c r="G39" s="10">
        <v>45991.0</v>
      </c>
      <c r="H39" s="9">
        <v>46022.0</v>
      </c>
      <c r="I39" s="10">
        <v>46053.0</v>
      </c>
      <c r="J39" s="9">
        <v>46081.0</v>
      </c>
      <c r="K39" s="10">
        <v>46112.0</v>
      </c>
      <c r="L39" s="9">
        <v>46142.0</v>
      </c>
      <c r="M39" s="10">
        <v>46173.0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5.75" customHeight="1"/>
    <row r="41" ht="15.75" customHeight="1">
      <c r="A41" s="1" t="s">
        <v>178</v>
      </c>
    </row>
    <row r="42" ht="15.75" customHeight="1">
      <c r="A42" s="1" t="s">
        <v>179</v>
      </c>
      <c r="B42" s="11" t="s">
        <v>180</v>
      </c>
      <c r="C42" s="12">
        <v>1.0</v>
      </c>
      <c r="D42" s="12">
        <v>0.0</v>
      </c>
      <c r="E42" s="12">
        <v>1.0</v>
      </c>
      <c r="F42" s="12">
        <v>0.0</v>
      </c>
      <c r="G42" s="12">
        <v>1.0</v>
      </c>
      <c r="H42" s="12">
        <v>0.0</v>
      </c>
      <c r="I42" s="12">
        <v>1.0</v>
      </c>
      <c r="J42" s="12">
        <v>0.0</v>
      </c>
      <c r="K42" s="12">
        <v>1.0</v>
      </c>
      <c r="L42" s="12">
        <v>0.0</v>
      </c>
      <c r="M42" s="12">
        <v>1.0</v>
      </c>
      <c r="N42" s="11">
        <f t="shared" ref="N42:N43" si="2">SUM(B42:M42)</f>
        <v>6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ht="15.75" customHeight="1">
      <c r="A43" s="1" t="s">
        <v>181</v>
      </c>
      <c r="B43" s="11" t="s">
        <v>180</v>
      </c>
      <c r="C43" s="12">
        <v>0.0</v>
      </c>
      <c r="D43" s="12">
        <v>1.0</v>
      </c>
      <c r="E43" s="12">
        <v>0.0</v>
      </c>
      <c r="F43" s="12">
        <v>0.0</v>
      </c>
      <c r="G43" s="12">
        <v>0.0</v>
      </c>
      <c r="H43" s="12">
        <v>1.0</v>
      </c>
      <c r="I43" s="12">
        <v>0.0</v>
      </c>
      <c r="J43" s="12">
        <v>0.0</v>
      </c>
      <c r="K43" s="12">
        <v>0.0</v>
      </c>
      <c r="L43" s="12">
        <v>1.0</v>
      </c>
      <c r="M43" s="12">
        <v>0.0</v>
      </c>
      <c r="N43" s="11">
        <f t="shared" si="2"/>
        <v>3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ht="15.75" customHeight="1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5.75" customHeight="1">
      <c r="A45" s="1" t="s">
        <v>182</v>
      </c>
      <c r="B45" s="12">
        <v>0.0</v>
      </c>
      <c r="C45" s="12">
        <f>SUM(B42:C42)</f>
        <v>1</v>
      </c>
      <c r="D45" s="12">
        <f t="shared" ref="D45:M45" si="3">SUM(B42:D42)</f>
        <v>1</v>
      </c>
      <c r="E45" s="12">
        <f t="shared" si="3"/>
        <v>2</v>
      </c>
      <c r="F45" s="12">
        <f t="shared" si="3"/>
        <v>1</v>
      </c>
      <c r="G45" s="12">
        <f t="shared" si="3"/>
        <v>2</v>
      </c>
      <c r="H45" s="12">
        <f t="shared" si="3"/>
        <v>1</v>
      </c>
      <c r="I45" s="12">
        <f t="shared" si="3"/>
        <v>2</v>
      </c>
      <c r="J45" s="12">
        <f t="shared" si="3"/>
        <v>1</v>
      </c>
      <c r="K45" s="12">
        <f t="shared" si="3"/>
        <v>2</v>
      </c>
      <c r="L45" s="12">
        <f t="shared" si="3"/>
        <v>1</v>
      </c>
      <c r="M45" s="12">
        <f t="shared" si="3"/>
        <v>2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ht="15.75" customHeight="1">
      <c r="A46" s="1" t="s">
        <v>183</v>
      </c>
      <c r="B46" s="12">
        <v>0.0</v>
      </c>
      <c r="C46" s="12">
        <v>0.0</v>
      </c>
      <c r="D46" s="12">
        <f t="shared" ref="D46:E46" si="4">SUM(B43:D43)</f>
        <v>1</v>
      </c>
      <c r="E46" s="12">
        <f t="shared" si="4"/>
        <v>1</v>
      </c>
      <c r="F46" s="12">
        <f t="shared" ref="F46:M46" si="5">SUM(B43:F43)</f>
        <v>1</v>
      </c>
      <c r="G46" s="12">
        <f t="shared" si="5"/>
        <v>1</v>
      </c>
      <c r="H46" s="12">
        <f t="shared" si="5"/>
        <v>2</v>
      </c>
      <c r="I46" s="12">
        <f t="shared" si="5"/>
        <v>1</v>
      </c>
      <c r="J46" s="12">
        <f t="shared" si="5"/>
        <v>1</v>
      </c>
      <c r="K46" s="12">
        <f t="shared" si="5"/>
        <v>1</v>
      </c>
      <c r="L46" s="12">
        <f t="shared" si="5"/>
        <v>2</v>
      </c>
      <c r="M46" s="12">
        <f t="shared" si="5"/>
        <v>1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ht="15.75" customHeight="1">
      <c r="A47" s="1" t="s">
        <v>184</v>
      </c>
      <c r="B47" s="12">
        <f t="shared" ref="B47:M47" si="6">SUM(B45:B46)</f>
        <v>0</v>
      </c>
      <c r="C47" s="12">
        <f t="shared" si="6"/>
        <v>1</v>
      </c>
      <c r="D47" s="12">
        <f t="shared" si="6"/>
        <v>2</v>
      </c>
      <c r="E47" s="12">
        <f t="shared" si="6"/>
        <v>3</v>
      </c>
      <c r="F47" s="12">
        <f t="shared" si="6"/>
        <v>2</v>
      </c>
      <c r="G47" s="12">
        <f t="shared" si="6"/>
        <v>3</v>
      </c>
      <c r="H47" s="12">
        <f t="shared" si="6"/>
        <v>3</v>
      </c>
      <c r="I47" s="12">
        <f t="shared" si="6"/>
        <v>3</v>
      </c>
      <c r="J47" s="12">
        <f t="shared" si="6"/>
        <v>2</v>
      </c>
      <c r="K47" s="12">
        <f t="shared" si="6"/>
        <v>3</v>
      </c>
      <c r="L47" s="12">
        <f t="shared" si="6"/>
        <v>3</v>
      </c>
      <c r="M47" s="12">
        <f t="shared" si="6"/>
        <v>3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5.75" customHeight="1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5.75" customHeight="1">
      <c r="A49" s="4" t="s">
        <v>185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5.75" customHeight="1">
      <c r="A50" s="1" t="s">
        <v>186</v>
      </c>
      <c r="B50" s="13">
        <v>0.0</v>
      </c>
      <c r="C50" s="12">
        <v>3.0</v>
      </c>
      <c r="D50" s="12">
        <v>3.0</v>
      </c>
      <c r="E50" s="12">
        <v>3.0</v>
      </c>
      <c r="F50" s="12">
        <v>3.0</v>
      </c>
      <c r="G50" s="12">
        <v>3.0</v>
      </c>
      <c r="H50" s="12">
        <v>3.0</v>
      </c>
      <c r="I50" s="12">
        <v>3.0</v>
      </c>
      <c r="J50" s="12">
        <v>3.0</v>
      </c>
      <c r="K50" s="12">
        <v>3.0</v>
      </c>
      <c r="L50" s="12">
        <v>3.0</v>
      </c>
      <c r="M50" s="12">
        <v>3.0</v>
      </c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ht="15.75" customHeight="1">
      <c r="A51" s="1" t="s">
        <v>187</v>
      </c>
      <c r="B51" s="13">
        <v>0.0</v>
      </c>
      <c r="C51" s="13">
        <v>0.0</v>
      </c>
      <c r="D51" s="12">
        <v>5.0</v>
      </c>
      <c r="E51" s="12">
        <v>5.0</v>
      </c>
      <c r="F51" s="12">
        <v>5.0</v>
      </c>
      <c r="G51" s="12">
        <v>5.0</v>
      </c>
      <c r="H51" s="12">
        <v>5.0</v>
      </c>
      <c r="I51" s="12">
        <v>5.0</v>
      </c>
      <c r="J51" s="12">
        <v>5.0</v>
      </c>
      <c r="K51" s="12">
        <v>5.0</v>
      </c>
      <c r="L51" s="12">
        <v>5.0</v>
      </c>
      <c r="M51" s="12">
        <v>5.0</v>
      </c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ht="15.75" customHeight="1"/>
    <row r="53" ht="15.75" customHeight="1">
      <c r="A53" s="4" t="s">
        <v>188</v>
      </c>
    </row>
    <row r="54" ht="15.75" customHeight="1">
      <c r="A54" s="1" t="s">
        <v>189</v>
      </c>
      <c r="B54" s="3">
        <f t="shared" ref="B54:M54" si="7">B45*B50</f>
        <v>0</v>
      </c>
      <c r="C54" s="3">
        <f t="shared" si="7"/>
        <v>3</v>
      </c>
      <c r="D54" s="3">
        <f t="shared" si="7"/>
        <v>3</v>
      </c>
      <c r="E54" s="3">
        <f t="shared" si="7"/>
        <v>6</v>
      </c>
      <c r="F54" s="3">
        <f t="shared" si="7"/>
        <v>3</v>
      </c>
      <c r="G54" s="3">
        <f t="shared" si="7"/>
        <v>6</v>
      </c>
      <c r="H54" s="3">
        <f t="shared" si="7"/>
        <v>3</v>
      </c>
      <c r="I54" s="3">
        <f t="shared" si="7"/>
        <v>6</v>
      </c>
      <c r="J54" s="3">
        <f t="shared" si="7"/>
        <v>3</v>
      </c>
      <c r="K54" s="3">
        <f t="shared" si="7"/>
        <v>6</v>
      </c>
      <c r="L54" s="3">
        <f t="shared" si="7"/>
        <v>3</v>
      </c>
      <c r="M54" s="3">
        <f t="shared" si="7"/>
        <v>6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1" t="s">
        <v>190</v>
      </c>
      <c r="B55" s="3">
        <f t="shared" ref="B55:M55" si="8">B46*B51</f>
        <v>0</v>
      </c>
      <c r="C55" s="3">
        <f t="shared" si="8"/>
        <v>0</v>
      </c>
      <c r="D55" s="3">
        <f t="shared" si="8"/>
        <v>5</v>
      </c>
      <c r="E55" s="3">
        <f t="shared" si="8"/>
        <v>5</v>
      </c>
      <c r="F55" s="3">
        <f t="shared" si="8"/>
        <v>5</v>
      </c>
      <c r="G55" s="3">
        <f t="shared" si="8"/>
        <v>5</v>
      </c>
      <c r="H55" s="3">
        <f t="shared" si="8"/>
        <v>10</v>
      </c>
      <c r="I55" s="3">
        <f t="shared" si="8"/>
        <v>5</v>
      </c>
      <c r="J55" s="3">
        <f t="shared" si="8"/>
        <v>5</v>
      </c>
      <c r="K55" s="3">
        <f t="shared" si="8"/>
        <v>5</v>
      </c>
      <c r="L55" s="3">
        <f t="shared" si="8"/>
        <v>10</v>
      </c>
      <c r="M55" s="3">
        <f t="shared" si="8"/>
        <v>5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1" t="s">
        <v>191</v>
      </c>
      <c r="B56" s="3">
        <f t="shared" ref="B56:M56" si="9">SUM(B54:B55)</f>
        <v>0</v>
      </c>
      <c r="C56" s="3">
        <f t="shared" si="9"/>
        <v>3</v>
      </c>
      <c r="D56" s="3">
        <f t="shared" si="9"/>
        <v>8</v>
      </c>
      <c r="E56" s="3">
        <f t="shared" si="9"/>
        <v>11</v>
      </c>
      <c r="F56" s="3">
        <f t="shared" si="9"/>
        <v>8</v>
      </c>
      <c r="G56" s="3">
        <f t="shared" si="9"/>
        <v>11</v>
      </c>
      <c r="H56" s="3">
        <f t="shared" si="9"/>
        <v>13</v>
      </c>
      <c r="I56" s="3">
        <f t="shared" si="9"/>
        <v>11</v>
      </c>
      <c r="J56" s="3">
        <f t="shared" si="9"/>
        <v>8</v>
      </c>
      <c r="K56" s="3">
        <f t="shared" si="9"/>
        <v>11</v>
      </c>
      <c r="L56" s="3">
        <f t="shared" si="9"/>
        <v>13</v>
      </c>
      <c r="M56" s="3">
        <f t="shared" si="9"/>
        <v>11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/>
    <row r="58" ht="15.75" customHeight="1">
      <c r="A58" s="1" t="s">
        <v>192</v>
      </c>
    </row>
    <row r="59" ht="15.75" customHeight="1">
      <c r="A59" s="1" t="s">
        <v>156</v>
      </c>
      <c r="B59" s="1" t="s">
        <v>193</v>
      </c>
      <c r="C59" s="1" t="s">
        <v>193</v>
      </c>
      <c r="D59" s="1" t="s">
        <v>193</v>
      </c>
      <c r="E59" s="1" t="s">
        <v>193</v>
      </c>
      <c r="F59" s="1" t="s">
        <v>193</v>
      </c>
      <c r="G59" s="1" t="s">
        <v>193</v>
      </c>
      <c r="H59" s="1" t="s">
        <v>193</v>
      </c>
      <c r="I59" s="1" t="s">
        <v>193</v>
      </c>
      <c r="J59" s="1" t="s">
        <v>193</v>
      </c>
      <c r="K59" s="1" t="s">
        <v>193</v>
      </c>
      <c r="L59" s="1" t="s">
        <v>193</v>
      </c>
      <c r="M59" s="1" t="s">
        <v>193</v>
      </c>
    </row>
    <row r="60" ht="15.75" customHeight="1">
      <c r="A60" s="1" t="s">
        <v>47</v>
      </c>
      <c r="B60" s="1" t="s">
        <v>159</v>
      </c>
      <c r="C60" s="1" t="s">
        <v>159</v>
      </c>
      <c r="D60" s="1" t="s">
        <v>159</v>
      </c>
      <c r="E60" s="1" t="s">
        <v>159</v>
      </c>
      <c r="F60" s="1" t="s">
        <v>159</v>
      </c>
      <c r="G60" s="1" t="s">
        <v>159</v>
      </c>
      <c r="H60" s="1" t="s">
        <v>159</v>
      </c>
      <c r="I60" s="1" t="s">
        <v>159</v>
      </c>
      <c r="J60" s="1" t="s">
        <v>159</v>
      </c>
      <c r="K60" s="1" t="s">
        <v>159</v>
      </c>
      <c r="L60" s="1" t="s">
        <v>159</v>
      </c>
      <c r="M60" s="1" t="s">
        <v>159</v>
      </c>
    </row>
    <row r="61" ht="15.75" customHeight="1"/>
    <row r="62" ht="15.75" customHeight="1">
      <c r="A62" s="1" t="s">
        <v>194</v>
      </c>
      <c r="B62" s="7">
        <v>0.0</v>
      </c>
      <c r="C62" s="7">
        <f t="shared" ref="C62:M62" si="10">C54*C$59*C$60</f>
        <v>75600</v>
      </c>
      <c r="D62" s="7">
        <f t="shared" si="10"/>
        <v>75600</v>
      </c>
      <c r="E62" s="7">
        <f t="shared" si="10"/>
        <v>151200</v>
      </c>
      <c r="F62" s="7">
        <f t="shared" si="10"/>
        <v>75600</v>
      </c>
      <c r="G62" s="7">
        <f t="shared" si="10"/>
        <v>151200</v>
      </c>
      <c r="H62" s="7">
        <f t="shared" si="10"/>
        <v>75600</v>
      </c>
      <c r="I62" s="7">
        <f t="shared" si="10"/>
        <v>151200</v>
      </c>
      <c r="J62" s="7">
        <f t="shared" si="10"/>
        <v>75600</v>
      </c>
      <c r="K62" s="7">
        <f t="shared" si="10"/>
        <v>151200</v>
      </c>
      <c r="L62" s="7">
        <f t="shared" si="10"/>
        <v>75600</v>
      </c>
      <c r="M62" s="7">
        <f t="shared" si="10"/>
        <v>151200</v>
      </c>
    </row>
    <row r="63" ht="15.75" customHeight="1">
      <c r="A63" s="1" t="s">
        <v>195</v>
      </c>
      <c r="B63" s="7">
        <v>0.0</v>
      </c>
      <c r="C63" s="7">
        <f t="shared" ref="C63:M63" si="11">C55*C$59*C$60</f>
        <v>0</v>
      </c>
      <c r="D63" s="7">
        <f t="shared" si="11"/>
        <v>126000</v>
      </c>
      <c r="E63" s="7">
        <f t="shared" si="11"/>
        <v>126000</v>
      </c>
      <c r="F63" s="7">
        <f t="shared" si="11"/>
        <v>126000</v>
      </c>
      <c r="G63" s="7">
        <f t="shared" si="11"/>
        <v>126000</v>
      </c>
      <c r="H63" s="7">
        <f t="shared" si="11"/>
        <v>252000</v>
      </c>
      <c r="I63" s="7">
        <f t="shared" si="11"/>
        <v>126000</v>
      </c>
      <c r="J63" s="7">
        <f t="shared" si="11"/>
        <v>126000</v>
      </c>
      <c r="K63" s="7">
        <f t="shared" si="11"/>
        <v>126000</v>
      </c>
      <c r="L63" s="7">
        <f t="shared" si="11"/>
        <v>252000</v>
      </c>
      <c r="M63" s="7">
        <f t="shared" si="11"/>
        <v>126000</v>
      </c>
    </row>
    <row r="64" ht="15.75" customHeight="1">
      <c r="A64" s="1" t="s">
        <v>196</v>
      </c>
      <c r="B64" s="7">
        <v>0.0</v>
      </c>
      <c r="C64" s="7">
        <f t="shared" ref="C64:M64" si="12">SUM(C62:C63)</f>
        <v>75600</v>
      </c>
      <c r="D64" s="7">
        <f t="shared" si="12"/>
        <v>201600</v>
      </c>
      <c r="E64" s="7">
        <f t="shared" si="12"/>
        <v>277200</v>
      </c>
      <c r="F64" s="7">
        <f t="shared" si="12"/>
        <v>201600</v>
      </c>
      <c r="G64" s="7">
        <f t="shared" si="12"/>
        <v>277200</v>
      </c>
      <c r="H64" s="7">
        <f t="shared" si="12"/>
        <v>327600</v>
      </c>
      <c r="I64" s="7">
        <f t="shared" si="12"/>
        <v>277200</v>
      </c>
      <c r="J64" s="7">
        <f t="shared" si="12"/>
        <v>201600</v>
      </c>
      <c r="K64" s="7">
        <f t="shared" si="12"/>
        <v>277200</v>
      </c>
      <c r="L64" s="7">
        <f t="shared" si="12"/>
        <v>327600</v>
      </c>
      <c r="M64" s="7">
        <f t="shared" si="12"/>
        <v>277200</v>
      </c>
    </row>
    <row r="65" ht="15.75" customHeight="1"/>
    <row r="66" ht="15.75" customHeight="1">
      <c r="A66" s="1" t="s">
        <v>197</v>
      </c>
    </row>
    <row r="67" ht="15.75" customHeight="1">
      <c r="A67" s="1" t="s">
        <v>71</v>
      </c>
      <c r="B67" s="1" t="s">
        <v>180</v>
      </c>
      <c r="C67" s="1" t="s">
        <v>72</v>
      </c>
      <c r="D67" s="1" t="s">
        <v>72</v>
      </c>
      <c r="E67" s="1" t="s">
        <v>63</v>
      </c>
      <c r="F67" s="1" t="s">
        <v>63</v>
      </c>
      <c r="G67" s="1" t="s">
        <v>63</v>
      </c>
      <c r="H67" s="1" t="s">
        <v>72</v>
      </c>
      <c r="I67" s="1" t="s">
        <v>63</v>
      </c>
      <c r="J67" s="1" t="s">
        <v>63</v>
      </c>
      <c r="K67" s="1" t="s">
        <v>63</v>
      </c>
      <c r="L67" s="1" t="s">
        <v>72</v>
      </c>
      <c r="M67" s="1" t="s">
        <v>63</v>
      </c>
    </row>
    <row r="68" ht="15.75" customHeight="1">
      <c r="A68" s="1" t="s">
        <v>75</v>
      </c>
      <c r="B68" s="1" t="s">
        <v>180</v>
      </c>
      <c r="C68" s="1" t="s">
        <v>76</v>
      </c>
      <c r="D68" s="1" t="s">
        <v>76</v>
      </c>
      <c r="E68" s="1" t="s">
        <v>72</v>
      </c>
      <c r="F68" s="1" t="s">
        <v>72</v>
      </c>
      <c r="G68" s="1" t="s">
        <v>72</v>
      </c>
      <c r="H68" s="1" t="s">
        <v>76</v>
      </c>
      <c r="I68" s="1" t="s">
        <v>72</v>
      </c>
      <c r="J68" s="1" t="s">
        <v>72</v>
      </c>
      <c r="K68" s="1" t="s">
        <v>72</v>
      </c>
      <c r="L68" s="1" t="s">
        <v>76</v>
      </c>
      <c r="M68" s="1" t="s">
        <v>72</v>
      </c>
    </row>
    <row r="69" ht="15.75" customHeight="1">
      <c r="A69" s="1" t="s">
        <v>79</v>
      </c>
      <c r="B69" s="1" t="s">
        <v>180</v>
      </c>
      <c r="C69" s="1" t="s">
        <v>180</v>
      </c>
      <c r="D69" s="1" t="s">
        <v>52</v>
      </c>
      <c r="E69" s="1" t="s">
        <v>52</v>
      </c>
      <c r="F69" s="1" t="s">
        <v>52</v>
      </c>
      <c r="G69" s="1" t="s">
        <v>52</v>
      </c>
      <c r="H69" s="1" t="s">
        <v>153</v>
      </c>
      <c r="I69" s="1" t="s">
        <v>153</v>
      </c>
      <c r="J69" s="1" t="s">
        <v>153</v>
      </c>
      <c r="K69" s="1" t="s">
        <v>52</v>
      </c>
      <c r="L69" s="1" t="s">
        <v>153</v>
      </c>
      <c r="M69" s="1" t="s">
        <v>153</v>
      </c>
    </row>
    <row r="70" ht="15.75" customHeight="1">
      <c r="A70" s="1" t="s">
        <v>81</v>
      </c>
      <c r="B70" s="1" t="s">
        <v>180</v>
      </c>
      <c r="C70" s="1" t="s">
        <v>180</v>
      </c>
      <c r="D70" s="1" t="s">
        <v>76</v>
      </c>
      <c r="E70" s="1" t="s">
        <v>76</v>
      </c>
      <c r="F70" s="1" t="s">
        <v>76</v>
      </c>
      <c r="G70" s="1" t="s">
        <v>76</v>
      </c>
      <c r="H70" s="1" t="s">
        <v>72</v>
      </c>
      <c r="I70" s="1" t="s">
        <v>72</v>
      </c>
      <c r="J70" s="1" t="s">
        <v>72</v>
      </c>
      <c r="K70" s="1" t="s">
        <v>76</v>
      </c>
      <c r="L70" s="1" t="s">
        <v>72</v>
      </c>
      <c r="M70" s="1" t="s">
        <v>72</v>
      </c>
    </row>
    <row r="71" ht="15.75" customHeight="1">
      <c r="A71" s="1" t="s">
        <v>83</v>
      </c>
      <c r="B71" s="1" t="s">
        <v>180</v>
      </c>
      <c r="C71" s="1" t="s">
        <v>180</v>
      </c>
      <c r="D71" s="1" t="s">
        <v>76</v>
      </c>
      <c r="E71" s="1" t="s">
        <v>76</v>
      </c>
      <c r="F71" s="1" t="s">
        <v>76</v>
      </c>
      <c r="G71" s="1" t="s">
        <v>76</v>
      </c>
      <c r="H71" s="1" t="s">
        <v>72</v>
      </c>
      <c r="I71" s="1" t="s">
        <v>72</v>
      </c>
      <c r="J71" s="1" t="s">
        <v>72</v>
      </c>
      <c r="K71" s="1" t="s">
        <v>76</v>
      </c>
      <c r="L71" s="1" t="s">
        <v>72</v>
      </c>
      <c r="M71" s="1" t="s">
        <v>72</v>
      </c>
    </row>
    <row r="72" ht="15.75" customHeight="1"/>
    <row r="73" ht="15.75" customHeight="1">
      <c r="A73" s="1" t="s">
        <v>161</v>
      </c>
      <c r="B73" s="14">
        <f t="shared" ref="B73:M73" si="13">$B$27</f>
        <v>320</v>
      </c>
      <c r="C73" s="14">
        <f t="shared" si="13"/>
        <v>320</v>
      </c>
      <c r="D73" s="14">
        <f t="shared" si="13"/>
        <v>320</v>
      </c>
      <c r="E73" s="14">
        <f t="shared" si="13"/>
        <v>320</v>
      </c>
      <c r="F73" s="14">
        <f t="shared" si="13"/>
        <v>320</v>
      </c>
      <c r="G73" s="14">
        <f t="shared" si="13"/>
        <v>320</v>
      </c>
      <c r="H73" s="14">
        <f t="shared" si="13"/>
        <v>320</v>
      </c>
      <c r="I73" s="14">
        <f t="shared" si="13"/>
        <v>320</v>
      </c>
      <c r="J73" s="14">
        <f t="shared" si="13"/>
        <v>320</v>
      </c>
      <c r="K73" s="14">
        <f t="shared" si="13"/>
        <v>320</v>
      </c>
      <c r="L73" s="14">
        <f t="shared" si="13"/>
        <v>320</v>
      </c>
      <c r="M73" s="14">
        <f t="shared" si="13"/>
        <v>320</v>
      </c>
    </row>
    <row r="74" ht="15.75" customHeight="1">
      <c r="A74" s="1" t="s">
        <v>198</v>
      </c>
      <c r="B74" s="14">
        <f t="shared" ref="B74:M74" si="14">$B$28</f>
        <v>360</v>
      </c>
      <c r="C74" s="14">
        <f t="shared" si="14"/>
        <v>360</v>
      </c>
      <c r="D74" s="14">
        <f t="shared" si="14"/>
        <v>360</v>
      </c>
      <c r="E74" s="14">
        <f t="shared" si="14"/>
        <v>360</v>
      </c>
      <c r="F74" s="14">
        <f t="shared" si="14"/>
        <v>360</v>
      </c>
      <c r="G74" s="14">
        <f t="shared" si="14"/>
        <v>360</v>
      </c>
      <c r="H74" s="14">
        <f t="shared" si="14"/>
        <v>360</v>
      </c>
      <c r="I74" s="14">
        <f t="shared" si="14"/>
        <v>360</v>
      </c>
      <c r="J74" s="14">
        <f t="shared" si="14"/>
        <v>360</v>
      </c>
      <c r="K74" s="14">
        <f t="shared" si="14"/>
        <v>360</v>
      </c>
      <c r="L74" s="14">
        <f t="shared" si="14"/>
        <v>360</v>
      </c>
      <c r="M74" s="14">
        <f t="shared" si="14"/>
        <v>360</v>
      </c>
    </row>
    <row r="75" ht="15.75" customHeight="1">
      <c r="A75" s="1" t="s">
        <v>199</v>
      </c>
      <c r="B75" s="14">
        <f t="shared" ref="B75:M75" si="15">$B$29</f>
        <v>320</v>
      </c>
      <c r="C75" s="14">
        <f t="shared" si="15"/>
        <v>320</v>
      </c>
      <c r="D75" s="14">
        <f t="shared" si="15"/>
        <v>320</v>
      </c>
      <c r="E75" s="14">
        <f t="shared" si="15"/>
        <v>320</v>
      </c>
      <c r="F75" s="14">
        <f t="shared" si="15"/>
        <v>320</v>
      </c>
      <c r="G75" s="14">
        <f t="shared" si="15"/>
        <v>320</v>
      </c>
      <c r="H75" s="14">
        <f t="shared" si="15"/>
        <v>320</v>
      </c>
      <c r="I75" s="14">
        <f t="shared" si="15"/>
        <v>320</v>
      </c>
      <c r="J75" s="14">
        <f t="shared" si="15"/>
        <v>320</v>
      </c>
      <c r="K75" s="14">
        <f t="shared" si="15"/>
        <v>320</v>
      </c>
      <c r="L75" s="14">
        <f t="shared" si="15"/>
        <v>320</v>
      </c>
      <c r="M75" s="14">
        <f t="shared" si="15"/>
        <v>320</v>
      </c>
    </row>
    <row r="76" ht="15.75" customHeight="1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ht="15.75" customHeight="1">
      <c r="A77" s="1" t="s">
        <v>200</v>
      </c>
      <c r="B77" s="11" t="s">
        <v>201</v>
      </c>
      <c r="C77" s="14">
        <f t="shared" ref="C77:M77" si="16">C67*C60*C73</f>
        <v>13440</v>
      </c>
      <c r="D77" s="14">
        <f t="shared" si="16"/>
        <v>13440</v>
      </c>
      <c r="E77" s="14">
        <f t="shared" si="16"/>
        <v>26880</v>
      </c>
      <c r="F77" s="14">
        <f t="shared" si="16"/>
        <v>26880</v>
      </c>
      <c r="G77" s="14">
        <f t="shared" si="16"/>
        <v>26880</v>
      </c>
      <c r="H77" s="14">
        <f t="shared" si="16"/>
        <v>13440</v>
      </c>
      <c r="I77" s="14">
        <f t="shared" si="16"/>
        <v>26880</v>
      </c>
      <c r="J77" s="14">
        <f t="shared" si="16"/>
        <v>26880</v>
      </c>
      <c r="K77" s="14">
        <f t="shared" si="16"/>
        <v>26880</v>
      </c>
      <c r="L77" s="14">
        <f t="shared" si="16"/>
        <v>13440</v>
      </c>
      <c r="M77" s="14">
        <f t="shared" si="16"/>
        <v>26880</v>
      </c>
    </row>
    <row r="78" ht="15.75" customHeight="1">
      <c r="A78" s="1" t="s">
        <v>202</v>
      </c>
      <c r="B78" s="11" t="s">
        <v>201</v>
      </c>
      <c r="C78" s="14">
        <f t="shared" ref="C78:M78" si="17">C68*C60*C74</f>
        <v>7560</v>
      </c>
      <c r="D78" s="14">
        <f t="shared" si="17"/>
        <v>7560</v>
      </c>
      <c r="E78" s="14">
        <f t="shared" si="17"/>
        <v>15120</v>
      </c>
      <c r="F78" s="14">
        <f t="shared" si="17"/>
        <v>15120</v>
      </c>
      <c r="G78" s="14">
        <f t="shared" si="17"/>
        <v>15120</v>
      </c>
      <c r="H78" s="14">
        <f t="shared" si="17"/>
        <v>7560</v>
      </c>
      <c r="I78" s="14">
        <f t="shared" si="17"/>
        <v>15120</v>
      </c>
      <c r="J78" s="14">
        <f t="shared" si="17"/>
        <v>15120</v>
      </c>
      <c r="K78" s="14">
        <f t="shared" si="17"/>
        <v>15120</v>
      </c>
      <c r="L78" s="14">
        <f t="shared" si="17"/>
        <v>7560</v>
      </c>
      <c r="M78" s="14">
        <f t="shared" si="17"/>
        <v>15120</v>
      </c>
    </row>
    <row r="79" ht="15.75" customHeight="1">
      <c r="A79" s="1" t="s">
        <v>203</v>
      </c>
      <c r="B79" s="11" t="s">
        <v>201</v>
      </c>
      <c r="C79" s="14">
        <f t="shared" ref="C79:M79" si="18">C71*C60*C75</f>
        <v>0</v>
      </c>
      <c r="D79" s="14">
        <f t="shared" si="18"/>
        <v>6720</v>
      </c>
      <c r="E79" s="14">
        <f t="shared" si="18"/>
        <v>6720</v>
      </c>
      <c r="F79" s="14">
        <f t="shared" si="18"/>
        <v>6720</v>
      </c>
      <c r="G79" s="14">
        <f t="shared" si="18"/>
        <v>6720</v>
      </c>
      <c r="H79" s="14">
        <f t="shared" si="18"/>
        <v>13440</v>
      </c>
      <c r="I79" s="14">
        <f t="shared" si="18"/>
        <v>13440</v>
      </c>
      <c r="J79" s="14">
        <f t="shared" si="18"/>
        <v>13440</v>
      </c>
      <c r="K79" s="14">
        <f t="shared" si="18"/>
        <v>6720</v>
      </c>
      <c r="L79" s="14">
        <f t="shared" si="18"/>
        <v>13440</v>
      </c>
      <c r="M79" s="14">
        <f t="shared" si="18"/>
        <v>13440</v>
      </c>
    </row>
    <row r="80" ht="15.75" customHeight="1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ht="15.75" customHeight="1">
      <c r="A81" s="1" t="s">
        <v>204</v>
      </c>
      <c r="B81" s="12">
        <v>0.0</v>
      </c>
      <c r="C81" s="12">
        <v>0.0</v>
      </c>
      <c r="D81" s="12">
        <v>1.0</v>
      </c>
      <c r="E81" s="12">
        <v>1.0</v>
      </c>
      <c r="F81" s="12">
        <v>1.0</v>
      </c>
      <c r="G81" s="12">
        <v>1.0</v>
      </c>
      <c r="H81" s="12">
        <v>1.0</v>
      </c>
      <c r="I81" s="12">
        <v>1.0</v>
      </c>
      <c r="J81" s="12">
        <v>1.0</v>
      </c>
      <c r="K81" s="12">
        <v>1.0</v>
      </c>
      <c r="L81" s="12">
        <v>1.0</v>
      </c>
      <c r="M81" s="12">
        <v>1.0</v>
      </c>
    </row>
    <row r="82" ht="15.75" customHeight="1">
      <c r="A82" s="1" t="s">
        <v>205</v>
      </c>
      <c r="B82" s="15">
        <v>0.0</v>
      </c>
      <c r="C82" s="15">
        <v>0.0</v>
      </c>
      <c r="D82" s="15">
        <v>8854.0</v>
      </c>
      <c r="E82" s="15">
        <v>8854.0</v>
      </c>
      <c r="F82" s="15">
        <v>8854.0</v>
      </c>
      <c r="G82" s="15">
        <v>8854.0</v>
      </c>
      <c r="H82" s="15">
        <v>8854.0</v>
      </c>
      <c r="I82" s="15">
        <v>8854.0</v>
      </c>
      <c r="J82" s="15">
        <v>8854.0</v>
      </c>
      <c r="K82" s="15">
        <v>8854.0</v>
      </c>
      <c r="L82" s="15">
        <v>8854.0</v>
      </c>
      <c r="M82" s="15">
        <v>8854.0</v>
      </c>
    </row>
    <row r="83" ht="15.75" customHeight="1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ht="15.75" customHeight="1">
      <c r="A84" s="1" t="s">
        <v>206</v>
      </c>
      <c r="B84" s="11" t="s">
        <v>201</v>
      </c>
      <c r="C84" s="14">
        <f t="shared" ref="C84:M84" si="19">SUM(C77:C79)+C82</f>
        <v>21000</v>
      </c>
      <c r="D84" s="14">
        <f t="shared" si="19"/>
        <v>36574</v>
      </c>
      <c r="E84" s="14">
        <f t="shared" si="19"/>
        <v>57574</v>
      </c>
      <c r="F84" s="14">
        <f t="shared" si="19"/>
        <v>57574</v>
      </c>
      <c r="G84" s="14">
        <f t="shared" si="19"/>
        <v>57574</v>
      </c>
      <c r="H84" s="14">
        <f t="shared" si="19"/>
        <v>43294</v>
      </c>
      <c r="I84" s="14">
        <f t="shared" si="19"/>
        <v>64294</v>
      </c>
      <c r="J84" s="14">
        <f t="shared" si="19"/>
        <v>64294</v>
      </c>
      <c r="K84" s="14">
        <f t="shared" si="19"/>
        <v>57574</v>
      </c>
      <c r="L84" s="14">
        <f t="shared" si="19"/>
        <v>43294</v>
      </c>
      <c r="M84" s="14">
        <f t="shared" si="19"/>
        <v>64294</v>
      </c>
    </row>
    <row r="85" ht="15.75" customHeight="1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ht="15.75" customHeight="1">
      <c r="A86" s="1" t="s">
        <v>207</v>
      </c>
      <c r="B86" s="11" t="s">
        <v>201</v>
      </c>
      <c r="C86" s="15">
        <f t="shared" ref="C86:M86" si="20">C64-C84</f>
        <v>54600</v>
      </c>
      <c r="D86" s="15">
        <f t="shared" si="20"/>
        <v>165026</v>
      </c>
      <c r="E86" s="15">
        <f t="shared" si="20"/>
        <v>219626</v>
      </c>
      <c r="F86" s="15">
        <f t="shared" si="20"/>
        <v>144026</v>
      </c>
      <c r="G86" s="15">
        <f t="shared" si="20"/>
        <v>219626</v>
      </c>
      <c r="H86" s="15">
        <f t="shared" si="20"/>
        <v>284306</v>
      </c>
      <c r="I86" s="15">
        <f t="shared" si="20"/>
        <v>212906</v>
      </c>
      <c r="J86" s="15">
        <f t="shared" si="20"/>
        <v>137306</v>
      </c>
      <c r="K86" s="15">
        <f t="shared" si="20"/>
        <v>219626</v>
      </c>
      <c r="L86" s="15">
        <f t="shared" si="20"/>
        <v>284306</v>
      </c>
      <c r="M86" s="15">
        <f t="shared" si="20"/>
        <v>212906</v>
      </c>
    </row>
    <row r="87" ht="15.75" customHeight="1">
      <c r="A87" s="1" t="s">
        <v>208</v>
      </c>
      <c r="B87" s="11"/>
      <c r="C87" s="16">
        <f t="shared" ref="C87:M87" si="21">(C86-C84)/C86</f>
        <v>0.6153846154</v>
      </c>
      <c r="D87" s="16">
        <f t="shared" si="21"/>
        <v>0.7783743168</v>
      </c>
      <c r="E87" s="16">
        <f t="shared" si="21"/>
        <v>0.7378543524</v>
      </c>
      <c r="F87" s="16">
        <f t="shared" si="21"/>
        <v>0.6002527321</v>
      </c>
      <c r="G87" s="16">
        <f t="shared" si="21"/>
        <v>0.7378543524</v>
      </c>
      <c r="H87" s="16">
        <f t="shared" si="21"/>
        <v>0.8477204139</v>
      </c>
      <c r="I87" s="16">
        <f t="shared" si="21"/>
        <v>0.6980169652</v>
      </c>
      <c r="J87" s="16">
        <f t="shared" si="21"/>
        <v>0.5317466098</v>
      </c>
      <c r="K87" s="16">
        <f t="shared" si="21"/>
        <v>0.7378543524</v>
      </c>
      <c r="L87" s="16">
        <f t="shared" si="21"/>
        <v>0.8477204139</v>
      </c>
      <c r="M87" s="16">
        <f t="shared" si="21"/>
        <v>0.6980169652</v>
      </c>
    </row>
    <row r="88" ht="15.75" customHeight="1"/>
    <row r="89" ht="15.75" customHeight="1">
      <c r="A89" s="1" t="s">
        <v>209</v>
      </c>
    </row>
    <row r="90" ht="15.75" customHeight="1"/>
    <row r="91" ht="15.75" customHeight="1">
      <c r="A91" s="1" t="s">
        <v>210</v>
      </c>
      <c r="B91" s="1" t="s">
        <v>211</v>
      </c>
      <c r="C91" s="1" t="s">
        <v>212</v>
      </c>
    </row>
    <row r="92" ht="15.75" customHeight="1">
      <c r="A92" s="1" t="s">
        <v>213</v>
      </c>
      <c r="B92" s="3">
        <v>3.0</v>
      </c>
      <c r="C92" s="2">
        <v>4.5</v>
      </c>
    </row>
    <row r="93" ht="15.75" customHeight="1">
      <c r="A93" s="1" t="s">
        <v>214</v>
      </c>
      <c r="B93" s="3">
        <v>3.0</v>
      </c>
      <c r="C93" s="3">
        <v>5.0</v>
      </c>
    </row>
    <row r="94" ht="15.75" customHeight="1">
      <c r="A94" s="1" t="s">
        <v>156</v>
      </c>
      <c r="B94" s="17">
        <v>1200.0</v>
      </c>
      <c r="C94" s="17">
        <v>1200.0</v>
      </c>
    </row>
    <row r="95" ht="15.75" customHeight="1">
      <c r="A95" s="1" t="s">
        <v>47</v>
      </c>
      <c r="B95" s="3">
        <v>21.0</v>
      </c>
      <c r="C95" s="3">
        <v>21.0</v>
      </c>
    </row>
    <row r="96" ht="15.75" customHeight="1">
      <c r="A96" s="1" t="s">
        <v>215</v>
      </c>
      <c r="B96" s="17">
        <f t="shared" ref="B96:C96" si="22">B92*B93*B94*B95</f>
        <v>226800</v>
      </c>
      <c r="C96" s="17">
        <f t="shared" si="22"/>
        <v>567000</v>
      </c>
    </row>
    <row r="97" ht="15.75" customHeight="1"/>
    <row r="98" ht="15.75" customHeight="1">
      <c r="A98" s="1" t="s">
        <v>70</v>
      </c>
    </row>
    <row r="99" ht="15.75" customHeight="1">
      <c r="A99" s="1" t="s">
        <v>122</v>
      </c>
      <c r="B99" s="1" t="s">
        <v>72</v>
      </c>
      <c r="C99" s="1" t="s">
        <v>52</v>
      </c>
    </row>
    <row r="100" ht="15.75" customHeight="1">
      <c r="A100" s="1" t="s">
        <v>216</v>
      </c>
      <c r="B100" s="1" t="s">
        <v>76</v>
      </c>
      <c r="C100" s="1" t="s">
        <v>76</v>
      </c>
    </row>
    <row r="101" ht="15.75" customHeight="1">
      <c r="A101" s="1" t="s">
        <v>217</v>
      </c>
      <c r="B101" s="1" t="s">
        <v>180</v>
      </c>
      <c r="C101" s="1" t="s">
        <v>76</v>
      </c>
    </row>
    <row r="102" ht="15.75" customHeight="1"/>
    <row r="103" ht="15.75" customHeight="1">
      <c r="A103" s="1" t="s">
        <v>218</v>
      </c>
    </row>
    <row r="104" ht="15.75" customHeight="1">
      <c r="A104" s="1" t="s">
        <v>122</v>
      </c>
      <c r="B104" s="17">
        <f t="shared" ref="B104:B105" si="23">B27*B99</f>
        <v>640</v>
      </c>
      <c r="C104" s="17">
        <f t="shared" ref="C104:C106" si="24">B27*C99</f>
        <v>960</v>
      </c>
    </row>
    <row r="105" ht="15.75" customHeight="1">
      <c r="A105" s="1" t="s">
        <v>216</v>
      </c>
      <c r="B105" s="17">
        <f t="shared" si="23"/>
        <v>360</v>
      </c>
      <c r="C105" s="17">
        <f t="shared" si="24"/>
        <v>360</v>
      </c>
    </row>
    <row r="106" ht="15.75" customHeight="1">
      <c r="A106" s="1" t="s">
        <v>217</v>
      </c>
      <c r="B106" s="17">
        <v>0.0</v>
      </c>
      <c r="C106" s="17">
        <f t="shared" si="24"/>
        <v>320</v>
      </c>
    </row>
    <row r="107" ht="15.75" customHeight="1">
      <c r="A107" s="1" t="s">
        <v>219</v>
      </c>
      <c r="B107" s="17">
        <f t="shared" ref="B107:C107" si="25">SUM(B104:B106)</f>
        <v>1000</v>
      </c>
      <c r="C107" s="17">
        <f t="shared" si="25"/>
        <v>1640</v>
      </c>
    </row>
    <row r="108" ht="15.75" customHeight="1"/>
    <row r="109" ht="15.75" customHeight="1">
      <c r="A109" s="1" t="s">
        <v>220</v>
      </c>
      <c r="B109" s="17">
        <f t="shared" ref="B109:C109" si="26">B107*B95*B92</f>
        <v>63000</v>
      </c>
      <c r="C109" s="17">
        <f t="shared" si="26"/>
        <v>154980</v>
      </c>
    </row>
    <row r="110" ht="15.75" customHeight="1">
      <c r="A110" s="1" t="s">
        <v>221</v>
      </c>
      <c r="B110" s="17">
        <f t="shared" ref="B110:C110" si="27">B96-B109</f>
        <v>163800</v>
      </c>
      <c r="C110" s="17">
        <f t="shared" si="27"/>
        <v>412020</v>
      </c>
    </row>
    <row r="111" ht="15.75" customHeight="1">
      <c r="A111" s="1" t="s">
        <v>222</v>
      </c>
      <c r="B111" s="18">
        <f t="shared" ref="B111:C111" si="28">1-(B109/B110)</f>
        <v>0.6153846154</v>
      </c>
      <c r="C111" s="18">
        <f t="shared" si="28"/>
        <v>0.623853211</v>
      </c>
    </row>
    <row r="112" ht="15.75" customHeight="1"/>
    <row r="113" ht="15.75" customHeight="1">
      <c r="A113" s="1" t="s">
        <v>223</v>
      </c>
      <c r="B113" s="1" t="s">
        <v>119</v>
      </c>
      <c r="C113" s="1" t="s">
        <v>120</v>
      </c>
      <c r="D113" s="1" t="s">
        <v>121</v>
      </c>
    </row>
    <row r="114" ht="15.75" customHeight="1">
      <c r="A114" s="1" t="s">
        <v>224</v>
      </c>
      <c r="B114" s="3">
        <f t="shared" ref="B114:B115" si="30">N42</f>
        <v>6</v>
      </c>
      <c r="C114" s="3">
        <f t="shared" ref="C114:D114" si="29">B114+200%</f>
        <v>8</v>
      </c>
      <c r="D114" s="3">
        <f t="shared" si="29"/>
        <v>10</v>
      </c>
    </row>
    <row r="115" ht="15.75" customHeight="1">
      <c r="A115" s="1" t="s">
        <v>225</v>
      </c>
      <c r="B115" s="3">
        <f t="shared" si="30"/>
        <v>3</v>
      </c>
      <c r="C115" s="3">
        <f t="shared" ref="C115:D115" si="31">B115+200%</f>
        <v>5</v>
      </c>
      <c r="D115" s="3">
        <f t="shared" si="31"/>
        <v>7</v>
      </c>
    </row>
    <row r="116" ht="15.75" customHeight="1">
      <c r="A116" s="1" t="s">
        <v>226</v>
      </c>
      <c r="B116" s="3">
        <f>Sum(B114:B115)</f>
        <v>9</v>
      </c>
      <c r="C116" s="3">
        <v>12.0</v>
      </c>
      <c r="D116" s="3">
        <v>16.0</v>
      </c>
    </row>
    <row r="117" ht="15.75" customHeight="1"/>
    <row r="118" ht="15.75" customHeight="1">
      <c r="A118" s="1" t="s">
        <v>196</v>
      </c>
      <c r="B118" s="7">
        <f>SUM(B62:M63)</f>
        <v>2721600</v>
      </c>
      <c r="C118" s="7">
        <f>(C116 / B116) * B118
</f>
        <v>3628800</v>
      </c>
      <c r="D118" s="7">
        <f>(D116 / B116) * B118
</f>
        <v>4838400</v>
      </c>
    </row>
    <row r="119" ht="15.75" customHeight="1">
      <c r="A119" s="1" t="s">
        <v>206</v>
      </c>
      <c r="B119" s="7">
        <f>SUM(B84:M84)</f>
        <v>567340</v>
      </c>
      <c r="C119" s="7">
        <f>(C116 / B116) * B119
</f>
        <v>756453.3333</v>
      </c>
      <c r="D119" s="7">
        <f>(D116 / B116) * B119
</f>
        <v>1008604.444</v>
      </c>
    </row>
    <row r="120" ht="15.75" customHeight="1">
      <c r="A120" s="1" t="s">
        <v>207</v>
      </c>
      <c r="B120" s="7">
        <f>B118-B119</f>
        <v>2154260</v>
      </c>
      <c r="C120" s="7">
        <f t="shared" ref="C120:D120" si="32">C118 - C119</f>
        <v>2872346.667</v>
      </c>
      <c r="D120" s="7">
        <f t="shared" si="32"/>
        <v>3829795.556</v>
      </c>
    </row>
    <row r="121" ht="15.75" customHeight="1">
      <c r="A121" s="1" t="s">
        <v>208</v>
      </c>
      <c r="B121" s="18">
        <f t="shared" ref="B121:D121" si="33">1-(B119/B118)</f>
        <v>0.7915417402</v>
      </c>
      <c r="C121" s="18">
        <f t="shared" si="33"/>
        <v>0.7915417402</v>
      </c>
      <c r="D121" s="18">
        <f t="shared" si="33"/>
        <v>0.7915417402</v>
      </c>
    </row>
    <row r="122" ht="15.75" customHeight="1"/>
    <row r="123" ht="15.75" customHeight="1"/>
    <row r="124" ht="15.75" customHeight="1"/>
    <row r="125" ht="15.75" customHeight="1">
      <c r="A125" s="19"/>
      <c r="B125" s="19"/>
      <c r="C125" s="19"/>
      <c r="D125" s="19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7.43"/>
    <col customWidth="1" min="3" max="3" width="13.29"/>
    <col customWidth="1" min="4" max="4" width="14.14"/>
    <col customWidth="1" min="5" max="5" width="20.43"/>
    <col customWidth="1" min="6" max="6" width="20.0"/>
    <col customWidth="1" min="7" max="8" width="20.29"/>
    <col customWidth="1" min="9" max="10" width="12.29"/>
    <col customWidth="1" min="11" max="12" width="14.0"/>
    <col customWidth="1" min="13" max="13" width="12.29"/>
    <col customWidth="1" min="14" max="14" width="12.86"/>
    <col customWidth="1" min="15" max="15" width="11.29"/>
    <col customWidth="1" min="16" max="27" width="11.14"/>
    <col customWidth="1" min="28" max="29" width="8.71"/>
    <col customWidth="1" min="30" max="41" width="12.29"/>
  </cols>
  <sheetData>
    <row r="1">
      <c r="A1" s="20" t="s">
        <v>227</v>
      </c>
      <c r="B1" s="21" t="s">
        <v>228</v>
      </c>
      <c r="C1" s="21" t="s">
        <v>229</v>
      </c>
      <c r="D1" s="21" t="s">
        <v>230</v>
      </c>
      <c r="E1" s="21" t="s">
        <v>231</v>
      </c>
      <c r="F1" s="21" t="s">
        <v>232</v>
      </c>
      <c r="G1" s="21" t="s">
        <v>233</v>
      </c>
      <c r="H1" s="21" t="s">
        <v>234</v>
      </c>
      <c r="I1" s="20" t="s">
        <v>235</v>
      </c>
      <c r="J1" s="20" t="s">
        <v>236</v>
      </c>
      <c r="K1" s="20" t="s">
        <v>237</v>
      </c>
      <c r="L1" s="21" t="s">
        <v>238</v>
      </c>
    </row>
    <row r="2">
      <c r="A2" s="1" t="s">
        <v>239</v>
      </c>
      <c r="B2" s="2">
        <v>50000.0</v>
      </c>
      <c r="C2" s="17">
        <f>G2 * (Assumptions!$B$4 * Assumptions!$B$19 + Assumptions!$B$5 / 12 * Assumptions!$B$20) + H2 * (Assumptions!$B$6 * Assumptions!$B$19 + Assumptions!$B$7 / 12 * Assumptions!$B$20)</f>
        <v>5426.666667</v>
      </c>
      <c r="D2" s="3">
        <f>B2 * (Assumptions!$B$14)</f>
        <v>250</v>
      </c>
      <c r="E2" s="3">
        <f>D2 * (Assumptions!$B$15)</f>
        <v>50</v>
      </c>
      <c r="F2" s="3">
        <f>D2 * (Assumptions!$B$16)</f>
        <v>12.5</v>
      </c>
      <c r="G2" s="3">
        <f t="shared" ref="G2:H2" si="1">E2</f>
        <v>50</v>
      </c>
      <c r="H2" s="3">
        <f t="shared" si="1"/>
        <v>12.5</v>
      </c>
      <c r="I2" s="17">
        <f t="shared" ref="I2:I37" si="2">IF(ROW()-1&lt;=12, INDEX($B$52:$M$52, 1, ROW()-1), IF(ROW()-1&lt;=24, INDEX($P$52:$AA$52, 1, ROW()-1-12), INDEX($AD$52:$AO$52, 1, ROW()-1-24)))</f>
        <v>41145.83333</v>
      </c>
      <c r="J2" s="17">
        <f t="shared" ref="J2:J14" si="3">$B$61</f>
        <v>6500</v>
      </c>
      <c r="K2" s="17">
        <f t="shared" ref="K2:K37" si="4">IF(ROW()-1&lt;=12, INDEX($B$63:$M$63, 1, ROW()-1), IF(ROW()-1&lt;=24, INDEX($P$63:$AA$63, 1, ROW()-1-12), INDEX($AD$63:$AO$63, 1, ROW()-1-24)))</f>
        <v>47645.83333</v>
      </c>
      <c r="L2" s="17">
        <f t="shared" ref="L2:L37" si="5">C2-K2</f>
        <v>-42219.16667</v>
      </c>
    </row>
    <row r="3">
      <c r="A3" s="1" t="s">
        <v>240</v>
      </c>
      <c r="B3" s="3">
        <f>B2 * (1 + Assumptions!$B$11)</f>
        <v>57500</v>
      </c>
      <c r="C3" s="17">
        <f>G3 * (Assumptions!$B$4 * Assumptions!$B$19 + Assumptions!$B$5 / 12 * Assumptions!$B$20) + H3 * (Assumptions!$B$6 * Assumptions!$B$19 + Assumptions!$B$7 / 12 * Assumptions!$B$20)</f>
        <v>11551.40833</v>
      </c>
      <c r="D3" s="3">
        <f>B3 * (Assumptions!$B$14)</f>
        <v>287.5</v>
      </c>
      <c r="E3" s="3">
        <f>D3 * (Assumptions!$B$15)</f>
        <v>57.5</v>
      </c>
      <c r="F3" s="3">
        <f>D3 * (Assumptions!$B$16)</f>
        <v>14.375</v>
      </c>
      <c r="G3" s="3">
        <f>G2 * (1 - Assumptions!$B$17) + E3</f>
        <v>106</v>
      </c>
      <c r="H3" s="3">
        <f>H2 * (1 - Assumptions!$B$18) + F3</f>
        <v>26.6875</v>
      </c>
      <c r="I3" s="17">
        <f t="shared" si="2"/>
        <v>41145.83333</v>
      </c>
      <c r="J3" s="17">
        <f t="shared" si="3"/>
        <v>6500</v>
      </c>
      <c r="K3" s="17">
        <f t="shared" si="4"/>
        <v>47645.83333</v>
      </c>
      <c r="L3" s="17">
        <f t="shared" si="5"/>
        <v>-36094.425</v>
      </c>
    </row>
    <row r="4">
      <c r="A4" s="1" t="s">
        <v>241</v>
      </c>
      <c r="B4" s="3">
        <f>B3 * (1 + Assumptions!$B$11)</f>
        <v>66125</v>
      </c>
      <c r="C4" s="17">
        <f>G4 * (Assumptions!$B$4 * Assumptions!$B$19 + Assumptions!$B$5 / 12 * Assumptions!$B$20) + H4 * (Assumptions!$B$6 * Assumptions!$B$19 + Assumptions!$B$7 / 12 * Assumptions!$B$20)</f>
        <v>18481.71088</v>
      </c>
      <c r="D4" s="3">
        <f>B4 * (Assumptions!$B$14)</f>
        <v>330.625</v>
      </c>
      <c r="E4" s="3">
        <f>D4 * (Assumptions!$B$15)</f>
        <v>66.125</v>
      </c>
      <c r="F4" s="3">
        <f>D4 * (Assumptions!$B$16)</f>
        <v>16.53125</v>
      </c>
      <c r="G4" s="3">
        <f>G3 * (1 - Assumptions!$B$17) + E4</f>
        <v>168.945</v>
      </c>
      <c r="H4" s="3">
        <f>H3 * (1 - Assumptions!$B$18) + F4</f>
        <v>42.8184375</v>
      </c>
      <c r="I4" s="17">
        <f t="shared" si="2"/>
        <v>41145.83333</v>
      </c>
      <c r="J4" s="17">
        <f t="shared" si="3"/>
        <v>6500</v>
      </c>
      <c r="K4" s="17">
        <f t="shared" si="4"/>
        <v>47645.83333</v>
      </c>
      <c r="L4" s="17">
        <f t="shared" si="5"/>
        <v>-29164.12246</v>
      </c>
    </row>
    <row r="5">
      <c r="A5" s="1" t="s">
        <v>242</v>
      </c>
      <c r="B5" s="3">
        <f>B4 * (1 + Assumptions!$B$11)</f>
        <v>76043.75</v>
      </c>
      <c r="C5" s="17">
        <f>G5 * (Assumptions!$B$4 * Assumptions!$B$19 + Assumptions!$B$5 / 12 * Assumptions!$B$20) + H5 * (Assumptions!$B$6 * Assumptions!$B$19 + Assumptions!$B$7 / 12 * Assumptions!$B$20)</f>
        <v>26341.11036</v>
      </c>
      <c r="D5" s="3">
        <f>B5 * (Assumptions!$B$14)</f>
        <v>380.21875</v>
      </c>
      <c r="E5" s="3">
        <f>D5 * (Assumptions!$B$15)</f>
        <v>76.04375</v>
      </c>
      <c r="F5" s="3">
        <f>D5 * (Assumptions!$B$16)</f>
        <v>19.0109375</v>
      </c>
      <c r="G5" s="3">
        <f>G4 * (1 - Assumptions!$B$17) + E5</f>
        <v>239.9204</v>
      </c>
      <c r="H5" s="3">
        <f>H4 * (1 - Assumptions!$B$18) + F5</f>
        <v>61.18709844</v>
      </c>
      <c r="I5" s="17">
        <f t="shared" si="2"/>
        <v>41145.83333</v>
      </c>
      <c r="J5" s="17">
        <f t="shared" si="3"/>
        <v>6500</v>
      </c>
      <c r="K5" s="17">
        <f t="shared" si="4"/>
        <v>47645.83333</v>
      </c>
      <c r="L5" s="17">
        <f t="shared" si="5"/>
        <v>-21304.72298</v>
      </c>
    </row>
    <row r="6">
      <c r="A6" s="1" t="s">
        <v>243</v>
      </c>
      <c r="B6" s="3">
        <f>B5 * (1 + Assumptions!$B$11)</f>
        <v>87450.3125</v>
      </c>
      <c r="C6" s="17">
        <f>G6 * (Assumptions!$B$4 * Assumptions!$B$19 + Assumptions!$B$5 / 12 * Assumptions!$B$20) + H6 * (Assumptions!$B$6 * Assumptions!$B$19 + Assumptions!$B$7 / 12 * Assumptions!$B$20)</f>
        <v>35271.60258</v>
      </c>
      <c r="D6" s="3">
        <f>B6 * (Assumptions!$B$14)</f>
        <v>437.2515625</v>
      </c>
      <c r="E6" s="3">
        <f>D6 * (Assumptions!$B$15)</f>
        <v>87.4503125</v>
      </c>
      <c r="F6" s="3">
        <f>D6 * (Assumptions!$B$16)</f>
        <v>21.86257813</v>
      </c>
      <c r="G6" s="3">
        <f>G5 * (1 - Assumptions!$B$17) + E6</f>
        <v>320.1731005</v>
      </c>
      <c r="H6" s="3">
        <f>H5 * (1 - Assumptions!$B$18) + F6</f>
        <v>82.13187009</v>
      </c>
      <c r="I6" s="17">
        <f t="shared" si="2"/>
        <v>41145.83333</v>
      </c>
      <c r="J6" s="17">
        <f t="shared" si="3"/>
        <v>6500</v>
      </c>
      <c r="K6" s="17">
        <f t="shared" si="4"/>
        <v>47645.83333</v>
      </c>
      <c r="L6" s="17">
        <f t="shared" si="5"/>
        <v>-12374.23075</v>
      </c>
    </row>
    <row r="7">
      <c r="A7" s="1" t="s">
        <v>244</v>
      </c>
      <c r="B7" s="3">
        <f>B6 * (1 + Assumptions!$B$11)</f>
        <v>100567.8594</v>
      </c>
      <c r="C7" s="17">
        <f>G7 * (Assumptions!$B$4 * Assumptions!$B$19 + Assumptions!$B$5 / 12 * Assumptions!$B$20) + H7 * (Assumptions!$B$6 * Assumptions!$B$19 + Assumptions!$B$7 / 12 * Assumptions!$B$20)</f>
        <v>45436.41402</v>
      </c>
      <c r="D7" s="3">
        <f>B7 * (Assumptions!$B$14)</f>
        <v>502.8392969</v>
      </c>
      <c r="E7" s="3">
        <f>D7 * (Assumptions!$B$15)</f>
        <v>100.5678594</v>
      </c>
      <c r="F7" s="3">
        <f>D7 * (Assumptions!$B$16)</f>
        <v>25.14196484</v>
      </c>
      <c r="G7" s="3">
        <f>G6 * (1 - Assumptions!$B$17) + E7</f>
        <v>411.1357669</v>
      </c>
      <c r="H7" s="3">
        <f>H6 * (1 - Assumptions!$B$18) + F7</f>
        <v>106.0418569</v>
      </c>
      <c r="I7" s="17">
        <f t="shared" si="2"/>
        <v>41145.83333</v>
      </c>
      <c r="J7" s="17">
        <f t="shared" si="3"/>
        <v>6500</v>
      </c>
      <c r="K7" s="17">
        <f t="shared" si="4"/>
        <v>47645.83333</v>
      </c>
      <c r="L7" s="17">
        <f t="shared" si="5"/>
        <v>-2209.419313</v>
      </c>
    </row>
    <row r="8">
      <c r="A8" s="1" t="s">
        <v>245</v>
      </c>
      <c r="B8" s="3">
        <f>B7 * (1 + Assumptions!$B$11)</f>
        <v>115653.0383</v>
      </c>
      <c r="C8" s="17">
        <f>G8 * (Assumptions!$B$4 * Assumptions!$B$19 + Assumptions!$B$5 / 12 * Assumptions!$B$20) + H8 * (Assumptions!$B$6 * Assumptions!$B$19 + Assumptions!$B$7 / 12 * Assumptions!$B$20)</f>
        <v>57023.18832</v>
      </c>
      <c r="D8" s="3">
        <f>B8 * (Assumptions!$B$14)</f>
        <v>578.2651914</v>
      </c>
      <c r="E8" s="3">
        <f>D8 * (Assumptions!$B$15)</f>
        <v>115.6530383</v>
      </c>
      <c r="F8" s="3">
        <f>D8 * (Assumptions!$B$16)</f>
        <v>28.91325957</v>
      </c>
      <c r="G8" s="3">
        <f>G7 * (1 - Assumptions!$B$17) + E8</f>
        <v>514.4547321</v>
      </c>
      <c r="H8" s="3">
        <f>H7 * (1 - Assumptions!$B$18) + F8</f>
        <v>133.3644886</v>
      </c>
      <c r="I8" s="17">
        <f t="shared" si="2"/>
        <v>41145.83333</v>
      </c>
      <c r="J8" s="17">
        <f t="shared" si="3"/>
        <v>6500</v>
      </c>
      <c r="K8" s="17">
        <f t="shared" si="4"/>
        <v>47645.83333</v>
      </c>
      <c r="L8" s="17">
        <f t="shared" si="5"/>
        <v>9377.354985</v>
      </c>
    </row>
    <row r="9">
      <c r="A9" s="1" t="s">
        <v>246</v>
      </c>
      <c r="B9" s="3">
        <f>B8 * (1 + Assumptions!$B$11)</f>
        <v>133000.994</v>
      </c>
      <c r="C9" s="17">
        <f>G9 * (Assumptions!$B$4 * Assumptions!$B$19 + Assumptions!$B$5 / 12 * Assumptions!$B$20) + H9 * (Assumptions!$B$6 * Assumptions!$B$19 + Assumptions!$B$7 / 12 * Assumptions!$B$20)</f>
        <v>70247.65072</v>
      </c>
      <c r="D9" s="3">
        <f>B9 * (Assumptions!$B$14)</f>
        <v>665.0049701</v>
      </c>
      <c r="E9" s="3">
        <f>D9 * (Assumptions!$B$15)</f>
        <v>133.000994</v>
      </c>
      <c r="F9" s="3">
        <f>D9 * (Assumptions!$B$16)</f>
        <v>33.25024851</v>
      </c>
      <c r="G9" s="3">
        <f>G8 * (1 - Assumptions!$B$17) + E9</f>
        <v>632.0220842</v>
      </c>
      <c r="H9" s="3">
        <f>H8 * (1 - Assumptions!$B$18) + F9</f>
        <v>164.6142698</v>
      </c>
      <c r="I9" s="17">
        <f t="shared" si="2"/>
        <v>41145.83333</v>
      </c>
      <c r="J9" s="17">
        <f t="shared" si="3"/>
        <v>6500</v>
      </c>
      <c r="K9" s="17">
        <f t="shared" si="4"/>
        <v>47645.83333</v>
      </c>
      <c r="L9" s="17">
        <f t="shared" si="5"/>
        <v>22601.81739</v>
      </c>
    </row>
    <row r="10">
      <c r="A10" s="1" t="s">
        <v>247</v>
      </c>
      <c r="B10" s="3">
        <f>B9 * (1 + Assumptions!$B$11)</f>
        <v>152951.1431</v>
      </c>
      <c r="C10" s="17">
        <f>G10 * (Assumptions!$B$4 * Assumptions!$B$19 + Assumptions!$B$5 / 12 * Assumptions!$B$20) + H10 * (Assumptions!$B$6 * Assumptions!$B$19 + Assumptions!$B$7 / 12 * Assumptions!$B$20)</f>
        <v>85357.82211</v>
      </c>
      <c r="D10" s="3">
        <f>B10 * (Assumptions!$B$14)</f>
        <v>764.7557156</v>
      </c>
      <c r="E10" s="3">
        <f>D10 * (Assumptions!$B$15)</f>
        <v>152.9511431</v>
      </c>
      <c r="F10" s="3">
        <f>D10 * (Assumptions!$B$16)</f>
        <v>38.23778578</v>
      </c>
      <c r="G10" s="3">
        <f>G9 * (1 - Assumptions!$B$17) + E10</f>
        <v>766.0125648</v>
      </c>
      <c r="H10" s="3">
        <f>H9 * (1 - Assumptions!$B$18) + F10</f>
        <v>200.3828415</v>
      </c>
      <c r="I10" s="17">
        <f t="shared" si="2"/>
        <v>41145.83333</v>
      </c>
      <c r="J10" s="17">
        <f t="shared" si="3"/>
        <v>6500</v>
      </c>
      <c r="K10" s="17">
        <f t="shared" si="4"/>
        <v>47645.83333</v>
      </c>
      <c r="L10" s="17">
        <f t="shared" si="5"/>
        <v>37711.98878</v>
      </c>
    </row>
    <row r="11">
      <c r="A11" s="1" t="s">
        <v>248</v>
      </c>
      <c r="B11" s="3">
        <f>B10 * (1 + Assumptions!$B$11)</f>
        <v>175893.8146</v>
      </c>
      <c r="C11" s="17">
        <f>G11 * (Assumptions!$B$4 * Assumptions!$B$19 + Assumptions!$B$5 / 12 * Assumptions!$B$20) + H11 * (Assumptions!$B$6 * Assumptions!$B$19 + Assumptions!$B$7 / 12 * Assumptions!$B$20)</f>
        <v>102638.8651</v>
      </c>
      <c r="D11" s="3">
        <f>B11 * (Assumptions!$B$14)</f>
        <v>879.469073</v>
      </c>
      <c r="E11" s="3">
        <f>D11 * (Assumptions!$B$15)</f>
        <v>175.8938146</v>
      </c>
      <c r="F11" s="3">
        <f>D11 * (Assumptions!$B$16)</f>
        <v>43.97345365</v>
      </c>
      <c r="G11" s="3">
        <f>G10 * (1 - Assumptions!$B$17) + E11</f>
        <v>918.9260024</v>
      </c>
      <c r="H11" s="3">
        <f>H10 * (1 - Assumptions!$B$18) + F11</f>
        <v>241.3505525</v>
      </c>
      <c r="I11" s="17">
        <f t="shared" si="2"/>
        <v>41145.83333</v>
      </c>
      <c r="J11" s="17">
        <f t="shared" si="3"/>
        <v>6500</v>
      </c>
      <c r="K11" s="17">
        <f t="shared" si="4"/>
        <v>47645.83333</v>
      </c>
      <c r="L11" s="17">
        <f t="shared" si="5"/>
        <v>54993.03178</v>
      </c>
    </row>
    <row r="12">
      <c r="A12" s="1" t="s">
        <v>249</v>
      </c>
      <c r="B12" s="3">
        <f>B11 * (1 + Assumptions!$B$11)</f>
        <v>202277.8868</v>
      </c>
      <c r="C12" s="17">
        <f>G12 * (Assumptions!$B$4 * Assumptions!$B$19 + Assumptions!$B$5 / 12 * Assumptions!$B$20) + H12 * (Assumptions!$B$6 * Assumptions!$B$19 + Assumptions!$B$7 / 12 * Assumptions!$B$20)</f>
        <v>122418.657</v>
      </c>
      <c r="D12" s="3">
        <f>B12 * (Assumptions!$B$14)</f>
        <v>1011.389434</v>
      </c>
      <c r="E12" s="3">
        <f>D12 * (Assumptions!$B$15)</f>
        <v>202.2778868</v>
      </c>
      <c r="F12" s="3">
        <f>D12 * (Assumptions!$B$16)</f>
        <v>50.5694717</v>
      </c>
      <c r="G12" s="3">
        <f>G11 * (1 - Assumptions!$B$17) + E12</f>
        <v>1093.636109</v>
      </c>
      <c r="H12" s="3">
        <f>H11 * (1 - Assumptions!$B$18) + F12</f>
        <v>288.2997659</v>
      </c>
      <c r="I12" s="17">
        <f t="shared" si="2"/>
        <v>41145.83333</v>
      </c>
      <c r="J12" s="17">
        <f t="shared" si="3"/>
        <v>6500</v>
      </c>
      <c r="K12" s="17">
        <f t="shared" si="4"/>
        <v>47645.83333</v>
      </c>
      <c r="L12" s="17">
        <f t="shared" si="5"/>
        <v>74772.82371</v>
      </c>
    </row>
    <row r="13">
      <c r="A13" s="1" t="s">
        <v>250</v>
      </c>
      <c r="B13" s="3">
        <f>B12 * (1 + Assumptions!$B$11)</f>
        <v>232619.5698</v>
      </c>
      <c r="C13" s="17">
        <f>G13 * (Assumptions!$B$4 * Assumptions!$B$19 + Assumptions!$B$5 / 12 * Assumptions!$B$20) + H13 * (Assumptions!$B$6 * Assumptions!$B$19 + Assumptions!$B$7 / 12 * Assumptions!$B$20)</f>
        <v>145074.1988</v>
      </c>
      <c r="D13" s="3">
        <f>B13 * (Assumptions!$B$14)</f>
        <v>1163.097849</v>
      </c>
      <c r="E13" s="3">
        <f>D13 * (Assumptions!$B$15)</f>
        <v>232.6195698</v>
      </c>
      <c r="F13" s="3">
        <f>D13 * (Assumptions!$B$16)</f>
        <v>58.15489245</v>
      </c>
      <c r="G13" s="3">
        <f>G12 * (1 - Assumptions!$B$17) + E13</f>
        <v>1293.446596</v>
      </c>
      <c r="H13" s="3">
        <f>H12 * (1 - Assumptions!$B$18) + F13</f>
        <v>342.1301619</v>
      </c>
      <c r="I13" s="17">
        <f t="shared" si="2"/>
        <v>41145.83333</v>
      </c>
      <c r="J13" s="17">
        <f t="shared" si="3"/>
        <v>6500</v>
      </c>
      <c r="K13" s="17">
        <f t="shared" si="4"/>
        <v>47645.83333</v>
      </c>
      <c r="L13" s="17">
        <f t="shared" si="5"/>
        <v>97428.36543</v>
      </c>
    </row>
    <row r="14">
      <c r="A14" s="1" t="s">
        <v>251</v>
      </c>
      <c r="B14" s="3">
        <f>B13 * (1 + Assumptions!$B$12)</f>
        <v>255881.5268</v>
      </c>
      <c r="C14" s="17">
        <f>G14 * (Assumptions!$B$4 * Assumptions!$B$19 + Assumptions!$B$5 / 12 * Assumptions!$B$20) + H14 * (Assumptions!$B$6 * Assumptions!$B$19 + Assumptions!$B$7 / 12 * Assumptions!$B$20)</f>
        <v>169776.6359</v>
      </c>
      <c r="D14" s="3">
        <f>B14 * (Assumptions!$B$14)</f>
        <v>1279.407634</v>
      </c>
      <c r="E14" s="3">
        <f>D14 * (Assumptions!$B$15)</f>
        <v>255.8815268</v>
      </c>
      <c r="F14" s="3">
        <f>D14 * (Assumptions!$B$16)</f>
        <v>63.9703817</v>
      </c>
      <c r="G14" s="3">
        <f>G13 * (1 - Assumptions!$B$17) + E14</f>
        <v>1510.524725</v>
      </c>
      <c r="H14" s="3">
        <f>H13 * (1 - Assumptions!$B$18) + F14</f>
        <v>400.9685912</v>
      </c>
      <c r="I14" s="17">
        <f t="shared" si="2"/>
        <v>73958.33333</v>
      </c>
      <c r="J14" s="17">
        <f t="shared" si="3"/>
        <v>6500</v>
      </c>
      <c r="K14" s="17">
        <f t="shared" si="4"/>
        <v>85658.33333</v>
      </c>
      <c r="L14" s="17">
        <f t="shared" si="5"/>
        <v>84118.30262</v>
      </c>
    </row>
    <row r="15">
      <c r="A15" s="1" t="s">
        <v>252</v>
      </c>
      <c r="B15" s="3">
        <f>B14 * (1 + Assumptions!$B$12)</f>
        <v>281469.6795</v>
      </c>
      <c r="C15" s="17">
        <f>G15 * (Assumptions!$B$4 * Assumptions!$B$19 + Assumptions!$B$5 / 12 * Assumptions!$B$20) + H15 * (Assumptions!$B$6 * Assumptions!$B$19 + Assumptions!$B$7 / 12 * Assumptions!$B$20)</f>
        <v>196735.8116</v>
      </c>
      <c r="D15" s="3">
        <f>B15 * (Assumptions!$B$14)</f>
        <v>1407.348397</v>
      </c>
      <c r="E15" s="3">
        <f>D15 * (Assumptions!$B$15)</f>
        <v>281.4696795</v>
      </c>
      <c r="F15" s="3">
        <f>D15 * (Assumptions!$B$16)</f>
        <v>70.36741987</v>
      </c>
      <c r="G15" s="3">
        <f>G14 * (1 - Assumptions!$B$17) + E15</f>
        <v>1746.678662</v>
      </c>
      <c r="H15" s="3">
        <f>H14 * (1 - Assumptions!$B$18) + F15</f>
        <v>465.3214822</v>
      </c>
      <c r="I15" s="17">
        <f t="shared" si="2"/>
        <v>73958.33333</v>
      </c>
      <c r="J15" s="17">
        <f t="shared" ref="J15:J26" si="6">$P$61</f>
        <v>11700</v>
      </c>
      <c r="K15" s="17">
        <f t="shared" si="4"/>
        <v>85658.33333</v>
      </c>
      <c r="L15" s="17">
        <f t="shared" si="5"/>
        <v>111077.4783</v>
      </c>
    </row>
    <row r="16">
      <c r="A16" s="1" t="s">
        <v>253</v>
      </c>
      <c r="B16" s="3">
        <f>B15 * (1 + Assumptions!$B$12)</f>
        <v>309616.6474</v>
      </c>
      <c r="C16" s="17">
        <f>G16 * (Assumptions!$B$4 * Assumptions!$B$19 + Assumptions!$B$5 / 12 * Assumptions!$B$20) + H16 * (Assumptions!$B$6 * Assumptions!$B$19 + Assumptions!$B$7 / 12 * Assumptions!$B$20)</f>
        <v>226182.4196</v>
      </c>
      <c r="D16" s="3">
        <f>B16 * (Assumptions!$B$14)</f>
        <v>1548.083237</v>
      </c>
      <c r="E16" s="3">
        <f>D16 * (Assumptions!$B$15)</f>
        <v>309.6166474</v>
      </c>
      <c r="F16" s="3">
        <f>D16 * (Assumptions!$B$16)</f>
        <v>77.40416185</v>
      </c>
      <c r="G16" s="3">
        <f>G15 * (1 - Assumptions!$B$17) + E16</f>
        <v>2003.89495</v>
      </c>
      <c r="H16" s="3">
        <f>H15 * (1 - Assumptions!$B$18) + F16</f>
        <v>535.7458218</v>
      </c>
      <c r="I16" s="17">
        <f t="shared" si="2"/>
        <v>73958.33333</v>
      </c>
      <c r="J16" s="17">
        <f t="shared" si="6"/>
        <v>11700</v>
      </c>
      <c r="K16" s="17">
        <f t="shared" si="4"/>
        <v>85658.33333</v>
      </c>
      <c r="L16" s="17">
        <f t="shared" si="5"/>
        <v>140524.0863</v>
      </c>
    </row>
    <row r="17">
      <c r="A17" s="1" t="s">
        <v>254</v>
      </c>
      <c r="B17" s="3">
        <f>B16 * (1 + Assumptions!$B$12)</f>
        <v>340578.3121</v>
      </c>
      <c r="C17" s="17">
        <f>G17 * (Assumptions!$B$4 * Assumptions!$B$19 + Assumptions!$B$5 / 12 * Assumptions!$B$20) + H17 * (Assumptions!$B$6 * Assumptions!$B$19 + Assumptions!$B$7 / 12 * Assumptions!$B$20)</f>
        <v>258370.0934</v>
      </c>
      <c r="D17" s="3">
        <f>B17 * (Assumptions!$B$14)</f>
        <v>1702.891561</v>
      </c>
      <c r="E17" s="3">
        <f>D17 * (Assumptions!$B$15)</f>
        <v>340.5783121</v>
      </c>
      <c r="F17" s="3">
        <f>D17 * (Assumptions!$B$16)</f>
        <v>85.14457804</v>
      </c>
      <c r="G17" s="3">
        <f>G16 * (1 - Assumptions!$B$17) + E17</f>
        <v>2284.356414</v>
      </c>
      <c r="H17" s="3">
        <f>H16 * (1 - Assumptions!$B$18) + F17</f>
        <v>612.8542125</v>
      </c>
      <c r="I17" s="17">
        <f t="shared" si="2"/>
        <v>73958.33333</v>
      </c>
      <c r="J17" s="17">
        <f t="shared" si="6"/>
        <v>11700</v>
      </c>
      <c r="K17" s="17">
        <f t="shared" si="4"/>
        <v>85658.33333</v>
      </c>
      <c r="L17" s="17">
        <f t="shared" si="5"/>
        <v>172711.76</v>
      </c>
    </row>
    <row r="18">
      <c r="A18" s="1" t="s">
        <v>255</v>
      </c>
      <c r="B18" s="3">
        <f>B17 * (1 + Assumptions!$B$12)</f>
        <v>374636.1434</v>
      </c>
      <c r="C18" s="17">
        <f>G18 * (Assumptions!$B$4 * Assumptions!$B$19 + Assumptions!$B$5 / 12 * Assumptions!$B$20) + H18 * (Assumptions!$B$6 * Assumptions!$B$19 + Assumptions!$B$7 / 12 * Assumptions!$B$20)</f>
        <v>293577.7033</v>
      </c>
      <c r="D18" s="3">
        <f>B18 * (Assumptions!$B$14)</f>
        <v>1873.180717</v>
      </c>
      <c r="E18" s="3">
        <f>D18 * (Assumptions!$B$15)</f>
        <v>374.6361434</v>
      </c>
      <c r="F18" s="3">
        <f>D18 * (Assumptions!$B$16)</f>
        <v>93.65903584</v>
      </c>
      <c r="G18" s="3">
        <f>G17 * (1 - Assumptions!$B$17) + E18</f>
        <v>2590.461864</v>
      </c>
      <c r="H18" s="3">
        <f>H17 * (1 - Assumptions!$B$18) + F18</f>
        <v>697.3204352</v>
      </c>
      <c r="I18" s="17">
        <f t="shared" si="2"/>
        <v>73958.33333</v>
      </c>
      <c r="J18" s="17">
        <f t="shared" si="6"/>
        <v>11700</v>
      </c>
      <c r="K18" s="17">
        <f t="shared" si="4"/>
        <v>85658.33333</v>
      </c>
      <c r="L18" s="17">
        <f t="shared" si="5"/>
        <v>207919.3699</v>
      </c>
    </row>
    <row r="19">
      <c r="A19" s="1" t="s">
        <v>256</v>
      </c>
      <c r="B19" s="3">
        <f>B18 * (1 + Assumptions!$B$12)</f>
        <v>412099.7577</v>
      </c>
      <c r="C19" s="17">
        <f>G19 * (Assumptions!$B$4 * Assumptions!$B$19 + Assumptions!$B$5 / 12 * Assumptions!$B$20) + H19 * (Assumptions!$B$6 * Assumptions!$B$19 + Assumptions!$B$7 / 12 * Assumptions!$B$20)</f>
        <v>332111.8842</v>
      </c>
      <c r="D19" s="3">
        <f>B19 * (Assumptions!$B$14)</f>
        <v>2060.498789</v>
      </c>
      <c r="E19" s="3">
        <f>D19 * (Assumptions!$B$15)</f>
        <v>412.0997577</v>
      </c>
      <c r="F19" s="3">
        <f>D19 * (Assumptions!$B$16)</f>
        <v>103.0249394</v>
      </c>
      <c r="G19" s="3">
        <f>G18 * (1 - Assumptions!$B$17) + E19</f>
        <v>2924.847766</v>
      </c>
      <c r="H19" s="3">
        <f>H18 * (1 - Assumptions!$B$18) + F19</f>
        <v>789.8855681</v>
      </c>
      <c r="I19" s="17">
        <f t="shared" si="2"/>
        <v>73958.33333</v>
      </c>
      <c r="J19" s="17">
        <f t="shared" si="6"/>
        <v>11700</v>
      </c>
      <c r="K19" s="17">
        <f t="shared" si="4"/>
        <v>85658.33333</v>
      </c>
      <c r="L19" s="17">
        <f t="shared" si="5"/>
        <v>246453.5509</v>
      </c>
    </row>
    <row r="20">
      <c r="A20" s="1" t="s">
        <v>257</v>
      </c>
      <c r="B20" s="3">
        <f>B19 * (1 + Assumptions!$B$12)</f>
        <v>453309.7335</v>
      </c>
      <c r="C20" s="17">
        <f>G20 * (Assumptions!$B$4 * Assumptions!$B$19 + Assumptions!$B$5 / 12 * Assumptions!$B$20) + H20 * (Assumptions!$B$6 * Assumptions!$B$19 + Assumptions!$B$7 / 12 * Assumptions!$B$20)</f>
        <v>374309.8149</v>
      </c>
      <c r="D20" s="3">
        <f>B20 * (Assumptions!$B$14)</f>
        <v>2266.548667</v>
      </c>
      <c r="E20" s="3">
        <f>D20 * (Assumptions!$B$15)</f>
        <v>453.3097335</v>
      </c>
      <c r="F20" s="3">
        <f>D20 * (Assumptions!$B$16)</f>
        <v>113.3274334</v>
      </c>
      <c r="G20" s="3">
        <f>G19 * (1 - Assumptions!$B$17) + E20</f>
        <v>3290.412067</v>
      </c>
      <c r="H20" s="3">
        <f>H19 * (1 - Assumptions!$B$18) + F20</f>
        <v>891.3647179</v>
      </c>
      <c r="I20" s="17">
        <f t="shared" si="2"/>
        <v>73958.33333</v>
      </c>
      <c r="J20" s="17">
        <f t="shared" si="6"/>
        <v>11700</v>
      </c>
      <c r="K20" s="17">
        <f t="shared" si="4"/>
        <v>85658.33333</v>
      </c>
      <c r="L20" s="17">
        <f t="shared" si="5"/>
        <v>288651.4816</v>
      </c>
    </row>
    <row r="21" ht="15.75" customHeight="1">
      <c r="A21" s="1" t="s">
        <v>258</v>
      </c>
      <c r="B21" s="3">
        <f>B20 * (1 + Assumptions!$B$12)</f>
        <v>498640.7068</v>
      </c>
      <c r="C21" s="17">
        <f>G21 * (Assumptions!$B$4 * Assumptions!$B$19 + Assumptions!$B$5 / 12 * Assumptions!$B$20) + H21 * (Assumptions!$B$6 * Assumptions!$B$19 + Assumptions!$B$7 / 12 * Assumptions!$B$20)</f>
        <v>420542.2762</v>
      </c>
      <c r="D21" s="3">
        <f>B21 * (Assumptions!$B$14)</f>
        <v>2493.203534</v>
      </c>
      <c r="E21" s="3">
        <f>D21 * (Assumptions!$B$15)</f>
        <v>498.6407068</v>
      </c>
      <c r="F21" s="3">
        <f>D21 * (Assumptions!$B$16)</f>
        <v>124.6601767</v>
      </c>
      <c r="G21" s="3">
        <f>G20 * (1 - Assumptions!$B$17) + E21</f>
        <v>3690.340412</v>
      </c>
      <c r="H21" s="3">
        <f>H20 * (1 - Assumptions!$B$18) + F21</f>
        <v>1002.654424</v>
      </c>
      <c r="I21" s="17">
        <f t="shared" si="2"/>
        <v>73958.33333</v>
      </c>
      <c r="J21" s="17">
        <f t="shared" si="6"/>
        <v>11700</v>
      </c>
      <c r="K21" s="17">
        <f t="shared" si="4"/>
        <v>85658.33333</v>
      </c>
      <c r="L21" s="17">
        <f t="shared" si="5"/>
        <v>334883.9429</v>
      </c>
    </row>
    <row r="22" ht="15.75" customHeight="1">
      <c r="A22" s="1" t="s">
        <v>259</v>
      </c>
      <c r="B22" s="3">
        <f>B21 * (1 + Assumptions!$B$12)</f>
        <v>548504.7775</v>
      </c>
      <c r="C22" s="17">
        <f>G22 * (Assumptions!$B$4 * Assumptions!$B$19 + Assumptions!$B$5 / 12 * Assumptions!$B$20) + H22 * (Assumptions!$B$6 * Assumptions!$B$19 + Assumptions!$B$7 / 12 * Assumptions!$B$20)</f>
        <v>471217.0139</v>
      </c>
      <c r="D22" s="3">
        <f>B22 * (Assumptions!$B$14)</f>
        <v>2742.523887</v>
      </c>
      <c r="E22" s="3">
        <f>D22 * (Assumptions!$B$15)</f>
        <v>548.5047775</v>
      </c>
      <c r="F22" s="3">
        <f>D22 * (Assumptions!$B$16)</f>
        <v>137.1261944</v>
      </c>
      <c r="G22" s="3">
        <f>G21 * (1 - Assumptions!$B$17) + E22</f>
        <v>4128.134977</v>
      </c>
      <c r="H22" s="3">
        <f>H21 * (1 - Assumptions!$B$18) + F22</f>
        <v>1124.740802</v>
      </c>
      <c r="I22" s="17">
        <f t="shared" si="2"/>
        <v>73958.33333</v>
      </c>
      <c r="J22" s="17">
        <f t="shared" si="6"/>
        <v>11700</v>
      </c>
      <c r="K22" s="17">
        <f t="shared" si="4"/>
        <v>85658.33333</v>
      </c>
      <c r="L22" s="17">
        <f t="shared" si="5"/>
        <v>385558.6806</v>
      </c>
    </row>
    <row r="23" ht="15.75" customHeight="1">
      <c r="A23" s="1" t="s">
        <v>260</v>
      </c>
      <c r="B23" s="3">
        <f>B22 * (1 + Assumptions!$B$12)</f>
        <v>603355.2552</v>
      </c>
      <c r="C23" s="17">
        <f>G23 * (Assumptions!$B$4 * Assumptions!$B$19 + Assumptions!$B$5 / 12 * Assumptions!$B$20) + H23 * (Assumptions!$B$6 * Assumptions!$B$19 + Assumptions!$B$7 / 12 * Assumptions!$B$20)</f>
        <v>526782.4385</v>
      </c>
      <c r="D23" s="3">
        <f>B23 * (Assumptions!$B$14)</f>
        <v>3016.776276</v>
      </c>
      <c r="E23" s="3">
        <f>D23 * (Assumptions!$B$15)</f>
        <v>603.3552552</v>
      </c>
      <c r="F23" s="3">
        <f>D23 * (Assumptions!$B$16)</f>
        <v>150.8388138</v>
      </c>
      <c r="G23" s="3">
        <f>G22 * (1 - Assumptions!$B$17) + E23</f>
        <v>4607.646183</v>
      </c>
      <c r="H23" s="3">
        <f>H22 * (1 - Assumptions!$B$18) + F23</f>
        <v>1258.708504</v>
      </c>
      <c r="I23" s="17">
        <f t="shared" si="2"/>
        <v>73958.33333</v>
      </c>
      <c r="J23" s="17">
        <f t="shared" si="6"/>
        <v>11700</v>
      </c>
      <c r="K23" s="17">
        <f t="shared" si="4"/>
        <v>85658.33333</v>
      </c>
      <c r="L23" s="17">
        <f t="shared" si="5"/>
        <v>441124.1052</v>
      </c>
    </row>
    <row r="24" ht="15.75" customHeight="1">
      <c r="A24" s="1" t="s">
        <v>261</v>
      </c>
      <c r="B24" s="3">
        <f>B23 * (1 + Assumptions!$B$12)</f>
        <v>663690.7808</v>
      </c>
      <c r="C24" s="17">
        <f>G24 * (Assumptions!$B$4 * Assumptions!$B$19 + Assumptions!$B$5 / 12 * Assumptions!$B$20) + H24 * (Assumptions!$B$6 * Assumptions!$B$19 + Assumptions!$B$7 / 12 * Assumptions!$B$20)</f>
        <v>587731.695</v>
      </c>
      <c r="D24" s="3">
        <f>B24 * (Assumptions!$B$14)</f>
        <v>3318.453904</v>
      </c>
      <c r="E24" s="3">
        <f>D24 * (Assumptions!$B$15)</f>
        <v>663.6907808</v>
      </c>
      <c r="F24" s="3">
        <f>D24 * (Assumptions!$B$16)</f>
        <v>165.9226952</v>
      </c>
      <c r="G24" s="3">
        <f>G23 * (1 - Assumptions!$B$17) + E24</f>
        <v>5133.107578</v>
      </c>
      <c r="H24" s="3">
        <f>H23 * (1 - Assumptions!$B$18) + F24</f>
        <v>1405.750571</v>
      </c>
      <c r="I24" s="17">
        <f t="shared" si="2"/>
        <v>73958.33333</v>
      </c>
      <c r="J24" s="17">
        <f t="shared" si="6"/>
        <v>11700</v>
      </c>
      <c r="K24" s="17">
        <f t="shared" si="4"/>
        <v>85658.33333</v>
      </c>
      <c r="L24" s="17">
        <f t="shared" si="5"/>
        <v>502073.3617</v>
      </c>
    </row>
    <row r="25" ht="15.75" customHeight="1">
      <c r="A25" s="1" t="s">
        <v>262</v>
      </c>
      <c r="B25" s="3">
        <f>B24 * (1 + Assumptions!$B$12)</f>
        <v>730059.8589</v>
      </c>
      <c r="C25" s="17">
        <f>G25 * (Assumptions!$B$4 * Assumptions!$B$19 + Assumptions!$B$5 / 12 * Assumptions!$B$20) + H25 * (Assumptions!$B$6 * Assumptions!$B$19 + Assumptions!$B$7 / 12 * Assumptions!$B$20)</f>
        <v>654607.1388</v>
      </c>
      <c r="D25" s="3">
        <f>B25 * (Assumptions!$B$14)</f>
        <v>3650.299294</v>
      </c>
      <c r="E25" s="3">
        <f>D25 * (Assumptions!$B$15)</f>
        <v>730.0598589</v>
      </c>
      <c r="F25" s="3">
        <f>D25 * (Assumptions!$B$16)</f>
        <v>182.5149647</v>
      </c>
      <c r="G25" s="3">
        <f>G24 * (1 - Assumptions!$B$17) + E25</f>
        <v>5709.174209</v>
      </c>
      <c r="H25" s="3">
        <f>H24 * (1 - Assumptions!$B$18) + F25</f>
        <v>1567.179277</v>
      </c>
      <c r="I25" s="17">
        <f t="shared" si="2"/>
        <v>73958.33333</v>
      </c>
      <c r="J25" s="17">
        <f t="shared" si="6"/>
        <v>11700</v>
      </c>
      <c r="K25" s="17">
        <f t="shared" si="4"/>
        <v>85658.33333</v>
      </c>
      <c r="L25" s="17">
        <f t="shared" si="5"/>
        <v>568948.8055</v>
      </c>
    </row>
    <row r="26" ht="15.75" customHeight="1">
      <c r="A26" s="1" t="s">
        <v>263</v>
      </c>
      <c r="B26" s="3">
        <f>B25 * (1 + Assumptions!$B$12)</f>
        <v>803065.8447</v>
      </c>
      <c r="C26" s="17">
        <f>G26 * (Assumptions!$B$4 * Assumptions!$B$19 + Assumptions!$B$5 / 12 * Assumptions!$B$20) + H26 * (Assumptions!$B$6 * Assumptions!$B$19 + Assumptions!$B$7 / 12 * Assumptions!$B$20)</f>
        <v>728005.2599</v>
      </c>
      <c r="D26" s="3">
        <f>B26 * (Assumptions!$B$14)</f>
        <v>4015.329224</v>
      </c>
      <c r="E26" s="3">
        <f>D26 * (Assumptions!$B$15)</f>
        <v>803.0658447</v>
      </c>
      <c r="F26" s="3">
        <f>D26 * (Assumptions!$B$16)</f>
        <v>200.7664612</v>
      </c>
      <c r="G26" s="3">
        <f>G25 * (1 - Assumptions!$B$17) + E26</f>
        <v>6340.964828</v>
      </c>
      <c r="H26" s="3">
        <f>H25 * (1 - Assumptions!$B$18) + F26</f>
        <v>1744.438049</v>
      </c>
      <c r="I26" s="17">
        <f t="shared" si="2"/>
        <v>115104.1667</v>
      </c>
      <c r="J26" s="17">
        <f t="shared" si="6"/>
        <v>11700</v>
      </c>
      <c r="K26" s="17">
        <f t="shared" si="4"/>
        <v>133304.1667</v>
      </c>
      <c r="L26" s="17">
        <f t="shared" si="5"/>
        <v>594701.0933</v>
      </c>
    </row>
    <row r="27" ht="15.75" customHeight="1">
      <c r="A27" s="1" t="s">
        <v>264</v>
      </c>
      <c r="B27" s="3">
        <f>B26 * (1 + Assumptions!$B$13)</f>
        <v>859280.4539</v>
      </c>
      <c r="C27" s="17">
        <f>G27 * (Assumptions!$B$4 * Assumptions!$B$19 + Assumptions!$B$5 / 12 * Assumptions!$B$20) + H27 * (Assumptions!$B$6 * Assumptions!$B$19 + Assumptions!$B$7 / 12 * Assumptions!$B$20)</f>
        <v>805967.3168</v>
      </c>
      <c r="D27" s="3">
        <f>B27 * (Assumptions!$B$14)</f>
        <v>4296.402269</v>
      </c>
      <c r="E27" s="3">
        <f>D27 * (Assumptions!$B$15)</f>
        <v>859.2804539</v>
      </c>
      <c r="F27" s="3">
        <f>D27 * (Assumptions!$B$16)</f>
        <v>214.8201135</v>
      </c>
      <c r="G27" s="3">
        <f>G26 * (1 - Assumptions!$B$17) + E27</f>
        <v>7010.016337</v>
      </c>
      <c r="H27" s="3">
        <f>H26 * (1 - Assumptions!$B$18) + F27</f>
        <v>1933.091592</v>
      </c>
      <c r="I27" s="17">
        <f t="shared" si="2"/>
        <v>115104.1667</v>
      </c>
      <c r="J27" s="17">
        <f t="shared" ref="J27:J37" si="7">$AD$61</f>
        <v>18200</v>
      </c>
      <c r="K27" s="17">
        <f t="shared" si="4"/>
        <v>133304.1667</v>
      </c>
      <c r="L27" s="17">
        <f t="shared" si="5"/>
        <v>672663.1501</v>
      </c>
    </row>
    <row r="28" ht="15.75" customHeight="1">
      <c r="A28" s="1" t="s">
        <v>265</v>
      </c>
      <c r="B28" s="3">
        <f>B27 * (1 + Assumptions!$B$13)</f>
        <v>919430.0856</v>
      </c>
      <c r="C28" s="17">
        <f>G28 * (Assumptions!$B$4 * Assumptions!$B$19 + Assumptions!$B$5 / 12 * Assumptions!$B$20) + H28 * (Assumptions!$B$6 * Assumptions!$B$19 + Assumptions!$B$7 / 12 * Assumptions!$B$20)</f>
        <v>888826.2027</v>
      </c>
      <c r="D28" s="3">
        <f>B28 * (Assumptions!$B$14)</f>
        <v>4597.150428</v>
      </c>
      <c r="E28" s="3">
        <f>D28 * (Assumptions!$B$15)</f>
        <v>919.4300856</v>
      </c>
      <c r="F28" s="3">
        <f>D28 * (Assumptions!$B$16)</f>
        <v>229.8575214</v>
      </c>
      <c r="G28" s="3">
        <f>G27 * (1 - Assumptions!$B$17) + E28</f>
        <v>7719.145932</v>
      </c>
      <c r="H28" s="3">
        <f>H27 * (1 - Assumptions!$B$18) + F28</f>
        <v>2133.95274</v>
      </c>
      <c r="I28" s="17">
        <f t="shared" si="2"/>
        <v>115104.1667</v>
      </c>
      <c r="J28" s="17">
        <f t="shared" si="7"/>
        <v>18200</v>
      </c>
      <c r="K28" s="17">
        <f t="shared" si="4"/>
        <v>133304.1667</v>
      </c>
      <c r="L28" s="17">
        <f t="shared" si="5"/>
        <v>755522.036</v>
      </c>
    </row>
    <row r="29" ht="15.75" customHeight="1">
      <c r="A29" s="1" t="s">
        <v>266</v>
      </c>
      <c r="B29" s="3">
        <f>B28 * (1 + Assumptions!$B$13)</f>
        <v>983790.1916</v>
      </c>
      <c r="C29" s="17">
        <f>G29 * (Assumptions!$B$4 * Assumptions!$B$19 + Assumptions!$B$5 / 12 * Assumptions!$B$20) + H29 * (Assumptions!$B$6 * Assumptions!$B$19 + Assumptions!$B$7 / 12 * Assumptions!$B$20)</f>
        <v>976937.7682</v>
      </c>
      <c r="D29" s="3">
        <f>B29 * (Assumptions!$B$14)</f>
        <v>4918.950958</v>
      </c>
      <c r="E29" s="3">
        <f>D29 * (Assumptions!$B$15)</f>
        <v>983.7901916</v>
      </c>
      <c r="F29" s="3">
        <f>D29 * (Assumptions!$B$16)</f>
        <v>245.9475479</v>
      </c>
      <c r="G29" s="3">
        <f>G28 * (1 - Assumptions!$B$17) + E29</f>
        <v>8471.361746</v>
      </c>
      <c r="H29" s="3">
        <f>H28 * (1 - Assumptions!$B$18) + F29</f>
        <v>2347.890997</v>
      </c>
      <c r="I29" s="17">
        <f t="shared" si="2"/>
        <v>115104.1667</v>
      </c>
      <c r="J29" s="17">
        <f t="shared" si="7"/>
        <v>18200</v>
      </c>
      <c r="K29" s="17">
        <f t="shared" si="4"/>
        <v>133304.1667</v>
      </c>
      <c r="L29" s="17">
        <f t="shared" si="5"/>
        <v>843633.6015</v>
      </c>
    </row>
    <row r="30" ht="15.75" customHeight="1">
      <c r="A30" s="1" t="s">
        <v>267</v>
      </c>
      <c r="B30" s="3">
        <f>B29 * (1 + Assumptions!$B$13)</f>
        <v>1052655.505</v>
      </c>
      <c r="C30" s="17">
        <f>G30 * (Assumptions!$B$4 * Assumptions!$B$19 + Assumptions!$B$5 / 12 * Assumptions!$B$20) + H30 * (Assumptions!$B$6 * Assumptions!$B$19 + Assumptions!$B$7 / 12 * Assumptions!$B$20)</f>
        <v>1070682.437</v>
      </c>
      <c r="D30" s="3">
        <f>B30 * (Assumptions!$B$14)</f>
        <v>5263.277525</v>
      </c>
      <c r="E30" s="3">
        <f>D30 * (Assumptions!$B$15)</f>
        <v>1052.655505</v>
      </c>
      <c r="F30" s="3">
        <f>D30 * (Assumptions!$B$16)</f>
        <v>263.1638763</v>
      </c>
      <c r="G30" s="3">
        <f>G29 * (1 - Assumptions!$B$17) + E30</f>
        <v>9269.876399</v>
      </c>
      <c r="H30" s="3">
        <f>H29 * (1 - Assumptions!$B$18) + F30</f>
        <v>2575.836508</v>
      </c>
      <c r="I30" s="17">
        <f t="shared" si="2"/>
        <v>115104.1667</v>
      </c>
      <c r="J30" s="17">
        <f t="shared" si="7"/>
        <v>18200</v>
      </c>
      <c r="K30" s="17">
        <f t="shared" si="4"/>
        <v>133304.1667</v>
      </c>
      <c r="L30" s="17">
        <f t="shared" si="5"/>
        <v>937378.2705</v>
      </c>
    </row>
    <row r="31" ht="15.75" customHeight="1">
      <c r="A31" s="1" t="s">
        <v>268</v>
      </c>
      <c r="B31" s="3">
        <f>B30 * (1 + Assumptions!$B$13)</f>
        <v>1126341.39</v>
      </c>
      <c r="C31" s="17">
        <f>G31 * (Assumptions!$B$4 * Assumptions!$B$19 + Assumptions!$B$5 / 12 * Assumptions!$B$20) + H31 * (Assumptions!$B$6 * Assumptions!$B$19 + Assumptions!$B$7 / 12 * Assumptions!$B$20)</f>
        <v>1170466.937</v>
      </c>
      <c r="D31" s="3">
        <f>B31 * (Assumptions!$B$14)</f>
        <v>5631.706952</v>
      </c>
      <c r="E31" s="3">
        <f>D31 * (Assumptions!$B$15)</f>
        <v>1126.34139</v>
      </c>
      <c r="F31" s="3">
        <f>D31 * (Assumptions!$B$16)</f>
        <v>281.5853476</v>
      </c>
      <c r="G31" s="3">
        <f>G30 * (1 - Assumptions!$B$17) + E31</f>
        <v>10118.1215</v>
      </c>
      <c r="H31" s="3">
        <f>H30 * (1 - Assumptions!$B$18) + F31</f>
        <v>2818.784308</v>
      </c>
      <c r="I31" s="17">
        <f t="shared" si="2"/>
        <v>115104.1667</v>
      </c>
      <c r="J31" s="17">
        <f t="shared" si="7"/>
        <v>18200</v>
      </c>
      <c r="K31" s="17">
        <f t="shared" si="4"/>
        <v>133304.1667</v>
      </c>
      <c r="L31" s="17">
        <f t="shared" si="5"/>
        <v>1037162.77</v>
      </c>
    </row>
    <row r="32" ht="15.75" customHeight="1">
      <c r="A32" s="1" t="s">
        <v>269</v>
      </c>
      <c r="B32" s="3">
        <f>B31 * (1 + Assumptions!$B$13)</f>
        <v>1205185.288</v>
      </c>
      <c r="C32" s="17">
        <f>G32 * (Assumptions!$B$4 * Assumptions!$B$19 + Assumptions!$B$5 / 12 * Assumptions!$B$20) + H32 * (Assumptions!$B$6 * Assumptions!$B$19 + Assumptions!$B$7 / 12 * Assumptions!$B$20)</f>
        <v>1276726.146</v>
      </c>
      <c r="D32" s="3">
        <f>B32 * (Assumptions!$B$14)</f>
        <v>6025.926439</v>
      </c>
      <c r="E32" s="3">
        <f>D32 * (Assumptions!$B$15)</f>
        <v>1205.185288</v>
      </c>
      <c r="F32" s="3">
        <f>D32 * (Assumptions!$B$16)</f>
        <v>301.2963219</v>
      </c>
      <c r="G32" s="3">
        <f>G31 * (1 - Assumptions!$B$17) + E32</f>
        <v>11019.76314</v>
      </c>
      <c r="H32" s="3">
        <f>H31 * (1 - Assumptions!$B$18) + F32</f>
        <v>3077.798865</v>
      </c>
      <c r="I32" s="17">
        <f t="shared" si="2"/>
        <v>115104.1667</v>
      </c>
      <c r="J32" s="17">
        <f t="shared" si="7"/>
        <v>18200</v>
      </c>
      <c r="K32" s="17">
        <f t="shared" si="4"/>
        <v>133304.1667</v>
      </c>
      <c r="L32" s="17">
        <f t="shared" si="5"/>
        <v>1143421.979</v>
      </c>
    </row>
    <row r="33" ht="15.75" customHeight="1">
      <c r="A33" s="1" t="s">
        <v>270</v>
      </c>
      <c r="B33" s="3">
        <f>B32 * (1 + Assumptions!$B$13)</f>
        <v>1289548.258</v>
      </c>
      <c r="C33" s="17">
        <f>G33 * (Assumptions!$B$4 * Assumptions!$B$19 + Assumptions!$B$5 / 12 * Assumptions!$B$20) + H33 * (Assumptions!$B$6 * Assumptions!$B$19 + Assumptions!$B$7 / 12 * Assumptions!$B$20)</f>
        <v>1389925.078</v>
      </c>
      <c r="D33" s="3">
        <f>B33 * (Assumptions!$B$14)</f>
        <v>6447.741289</v>
      </c>
      <c r="E33" s="3">
        <f>D33 * (Assumptions!$B$15)</f>
        <v>1289.548258</v>
      </c>
      <c r="F33" s="3">
        <f>D33 * (Assumptions!$B$16)</f>
        <v>322.3870645</v>
      </c>
      <c r="G33" s="3">
        <f>G32 * (1 - Assumptions!$B$17) + E33</f>
        <v>11978.7185</v>
      </c>
      <c r="H33" s="3">
        <f>H32 * (1 - Assumptions!$B$18) + F33</f>
        <v>3354.018947</v>
      </c>
      <c r="I33" s="17">
        <f t="shared" si="2"/>
        <v>115104.1667</v>
      </c>
      <c r="J33" s="17">
        <f t="shared" si="7"/>
        <v>18200</v>
      </c>
      <c r="K33" s="17">
        <f t="shared" si="4"/>
        <v>133304.1667</v>
      </c>
      <c r="L33" s="17">
        <f t="shared" si="5"/>
        <v>1256620.912</v>
      </c>
    </row>
    <row r="34" ht="15.75" customHeight="1">
      <c r="A34" s="1" t="s">
        <v>271</v>
      </c>
      <c r="B34" s="3">
        <f>B33 * (1 + Assumptions!$B$13)</f>
        <v>1379816.636</v>
      </c>
      <c r="C34" s="17">
        <f>G34 * (Assumptions!$B$4 * Assumptions!$B$19 + Assumptions!$B$5 / 12 * Assumptions!$B$20) + H34 * (Assumptions!$B$6 * Assumptions!$B$19 + Assumptions!$B$7 / 12 * Assumptions!$B$20)</f>
        <v>1510560.996</v>
      </c>
      <c r="D34" s="3">
        <f>B34 * (Assumptions!$B$14)</f>
        <v>6899.08318</v>
      </c>
      <c r="E34" s="3">
        <f>D34 * (Assumptions!$B$15)</f>
        <v>1379.816636</v>
      </c>
      <c r="F34" s="3">
        <f>D34 * (Assumptions!$B$16)</f>
        <v>344.954159</v>
      </c>
      <c r="G34" s="3">
        <f>G33 * (1 - Assumptions!$B$17) + E34</f>
        <v>12999.17358</v>
      </c>
      <c r="H34" s="3">
        <f>H33 * (1 - Assumptions!$B$18) + F34</f>
        <v>3648.662821</v>
      </c>
      <c r="I34" s="17">
        <f t="shared" si="2"/>
        <v>115104.1667</v>
      </c>
      <c r="J34" s="17">
        <f t="shared" si="7"/>
        <v>18200</v>
      </c>
      <c r="K34" s="17">
        <f t="shared" si="4"/>
        <v>133304.1667</v>
      </c>
      <c r="L34" s="17">
        <f t="shared" si="5"/>
        <v>1377256.829</v>
      </c>
    </row>
    <row r="35" ht="15.75" customHeight="1">
      <c r="A35" s="1" t="s">
        <v>272</v>
      </c>
      <c r="B35" s="3">
        <f>B34 * (1 + Assumptions!$B$13)</f>
        <v>1476403.8</v>
      </c>
      <c r="C35" s="17">
        <f>G35 * (Assumptions!$B$4 * Assumptions!$B$19 + Assumptions!$B$5 / 12 * Assumptions!$B$20) + H35 * (Assumptions!$B$6 * Assumptions!$B$19 + Assumptions!$B$7 / 12 * Assumptions!$B$20)</f>
        <v>1639165.678</v>
      </c>
      <c r="D35" s="3">
        <f>B35 * (Assumptions!$B$14)</f>
        <v>7382.019002</v>
      </c>
      <c r="E35" s="3">
        <f>D35 * (Assumptions!$B$15)</f>
        <v>1476.4038</v>
      </c>
      <c r="F35" s="3">
        <f>D35 * (Assumptions!$B$16)</f>
        <v>369.1009501</v>
      </c>
      <c r="G35" s="3">
        <f>G34 * (1 - Assumptions!$B$17) + E35</f>
        <v>14085.60218</v>
      </c>
      <c r="H35" s="3">
        <f>H34 * (1 - Assumptions!$B$18) + F35</f>
        <v>3963.033829</v>
      </c>
      <c r="I35" s="17">
        <f t="shared" si="2"/>
        <v>115104.1667</v>
      </c>
      <c r="J35" s="17">
        <f t="shared" si="7"/>
        <v>18200</v>
      </c>
      <c r="K35" s="17">
        <f t="shared" si="4"/>
        <v>133304.1667</v>
      </c>
      <c r="L35" s="17">
        <f t="shared" si="5"/>
        <v>1505861.511</v>
      </c>
    </row>
    <row r="36" ht="15.75" customHeight="1">
      <c r="A36" s="1" t="s">
        <v>273</v>
      </c>
      <c r="B36" s="3">
        <f>B35 * (1 + Assumptions!$B$13)</f>
        <v>1579752.066</v>
      </c>
      <c r="C36" s="17">
        <f>G36 * (Assumptions!$B$4 * Assumptions!$B$19 + Assumptions!$B$5 / 12 * Assumptions!$B$20) + H36 * (Assumptions!$B$6 * Assumptions!$B$19 + Assumptions!$B$7 / 12 * Assumptions!$B$20)</f>
        <v>1776307.842</v>
      </c>
      <c r="D36" s="3">
        <f>B36 * (Assumptions!$B$14)</f>
        <v>7898.760332</v>
      </c>
      <c r="E36" s="3">
        <f>D36 * (Assumptions!$B$15)</f>
        <v>1579.752066</v>
      </c>
      <c r="F36" s="3">
        <f>D36 * (Assumptions!$B$16)</f>
        <v>394.9380166</v>
      </c>
      <c r="G36" s="3">
        <f>G35 * (1 - Assumptions!$B$17) + E36</f>
        <v>15242.78618</v>
      </c>
      <c r="H36" s="3">
        <f>H35 * (1 - Assumptions!$B$18) + F36</f>
        <v>4298.526338</v>
      </c>
      <c r="I36" s="17">
        <f t="shared" si="2"/>
        <v>115104.1667</v>
      </c>
      <c r="J36" s="17">
        <f t="shared" si="7"/>
        <v>18200</v>
      </c>
      <c r="K36" s="17">
        <f t="shared" si="4"/>
        <v>133304.1667</v>
      </c>
      <c r="L36" s="17">
        <f t="shared" si="5"/>
        <v>1643003.675</v>
      </c>
    </row>
    <row r="37" ht="15.75" customHeight="1">
      <c r="A37" s="1" t="s">
        <v>274</v>
      </c>
      <c r="B37" s="3">
        <f>B36 * (1 + Assumptions!$B$13)</f>
        <v>1690334.711</v>
      </c>
      <c r="C37" s="17">
        <f>G37 * (Assumptions!$B$4 * Assumptions!$B$19 + Assumptions!$B$5 / 12 * Assumptions!$B$20) + H37 * (Assumptions!$B$6 * Assumptions!$B$19 + Assumptions!$B$7 / 12 * Assumptions!$B$20)</f>
        <v>1922595.741</v>
      </c>
      <c r="D37" s="3">
        <f>B37 * (Assumptions!$B$14)</f>
        <v>8451.673556</v>
      </c>
      <c r="E37" s="3">
        <f>D37 * (Assumptions!$B$15)</f>
        <v>1690.334711</v>
      </c>
      <c r="F37" s="3">
        <f>D37 * (Assumptions!$B$16)</f>
        <v>422.5836778</v>
      </c>
      <c r="G37" s="3">
        <f>G36 * (1 - Assumptions!$B$17) + E37</f>
        <v>16475.8373</v>
      </c>
      <c r="H37" s="3">
        <f>H36 * (1 - Assumptions!$B$18) + F37</f>
        <v>4656.632121</v>
      </c>
      <c r="I37" s="17">
        <f t="shared" si="2"/>
        <v>115104.1667</v>
      </c>
      <c r="J37" s="17">
        <f t="shared" si="7"/>
        <v>18200</v>
      </c>
      <c r="K37" s="17">
        <f t="shared" si="4"/>
        <v>133304.1667</v>
      </c>
      <c r="L37" s="17">
        <f t="shared" si="5"/>
        <v>1789291.574</v>
      </c>
    </row>
    <row r="38" ht="15.75" customHeight="1">
      <c r="C38" s="17"/>
      <c r="E38" s="17"/>
      <c r="F38" s="17"/>
    </row>
    <row r="39" ht="15.75" customHeight="1">
      <c r="C39" s="17"/>
      <c r="E39" s="17"/>
      <c r="F39" s="17"/>
    </row>
    <row r="40" ht="15.75" customHeight="1"/>
    <row r="41" ht="15.75" customHeight="1">
      <c r="A41" s="1" t="s">
        <v>275</v>
      </c>
      <c r="B41" s="4" t="s">
        <v>119</v>
      </c>
      <c r="O41" s="4"/>
      <c r="P41" s="4" t="s">
        <v>120</v>
      </c>
      <c r="AD41" s="4" t="s">
        <v>121</v>
      </c>
    </row>
    <row r="42" ht="15.75" customHeight="1">
      <c r="B42" s="4" t="s">
        <v>166</v>
      </c>
      <c r="C42" s="4" t="s">
        <v>167</v>
      </c>
      <c r="D42" s="4" t="s">
        <v>168</v>
      </c>
      <c r="E42" s="4" t="s">
        <v>169</v>
      </c>
      <c r="F42" s="4" t="s">
        <v>170</v>
      </c>
      <c r="G42" s="4" t="s">
        <v>171</v>
      </c>
      <c r="H42" s="4" t="s">
        <v>172</v>
      </c>
      <c r="I42" s="4" t="s">
        <v>173</v>
      </c>
      <c r="J42" s="4" t="s">
        <v>174</v>
      </c>
      <c r="K42" s="4" t="s">
        <v>175</v>
      </c>
      <c r="L42" s="4" t="s">
        <v>176</v>
      </c>
      <c r="M42" s="4" t="s">
        <v>177</v>
      </c>
      <c r="O42" s="4"/>
      <c r="P42" s="4" t="s">
        <v>166</v>
      </c>
      <c r="Q42" s="4" t="s">
        <v>167</v>
      </c>
      <c r="R42" s="4" t="s">
        <v>168</v>
      </c>
      <c r="S42" s="4" t="s">
        <v>169</v>
      </c>
      <c r="T42" s="4" t="s">
        <v>170</v>
      </c>
      <c r="U42" s="4" t="s">
        <v>171</v>
      </c>
      <c r="V42" s="4" t="s">
        <v>172</v>
      </c>
      <c r="W42" s="4" t="s">
        <v>173</v>
      </c>
      <c r="X42" s="4" t="s">
        <v>174</v>
      </c>
      <c r="Y42" s="4" t="s">
        <v>175</v>
      </c>
      <c r="Z42" s="4" t="s">
        <v>176</v>
      </c>
      <c r="AA42" s="4" t="s">
        <v>177</v>
      </c>
      <c r="AD42" s="4" t="s">
        <v>166</v>
      </c>
      <c r="AE42" s="4" t="s">
        <v>167</v>
      </c>
      <c r="AF42" s="4" t="s">
        <v>168</v>
      </c>
      <c r="AG42" s="4" t="s">
        <v>169</v>
      </c>
      <c r="AH42" s="4" t="s">
        <v>170</v>
      </c>
      <c r="AI42" s="4" t="s">
        <v>171</v>
      </c>
      <c r="AJ42" s="4" t="s">
        <v>172</v>
      </c>
      <c r="AK42" s="4" t="s">
        <v>173</v>
      </c>
      <c r="AL42" s="4" t="s">
        <v>174</v>
      </c>
      <c r="AM42" s="4" t="s">
        <v>175</v>
      </c>
      <c r="AN42" s="4" t="s">
        <v>176</v>
      </c>
      <c r="AO42" s="4" t="s">
        <v>177</v>
      </c>
    </row>
    <row r="43" ht="15.75" customHeight="1">
      <c r="A43" s="1" t="s">
        <v>276</v>
      </c>
    </row>
    <row r="44" ht="15.75" customHeight="1">
      <c r="A44" s="1" t="s">
        <v>277</v>
      </c>
      <c r="B44" s="3">
        <f>Assumptions!$B63</f>
        <v>3</v>
      </c>
      <c r="C44" s="3">
        <f>Assumptions!$B63</f>
        <v>3</v>
      </c>
      <c r="D44" s="3">
        <f>Assumptions!$B63</f>
        <v>3</v>
      </c>
      <c r="E44" s="3">
        <f>Assumptions!$B63</f>
        <v>3</v>
      </c>
      <c r="F44" s="3">
        <f>Assumptions!$B63</f>
        <v>3</v>
      </c>
      <c r="G44" s="3">
        <f>Assumptions!$B63</f>
        <v>3</v>
      </c>
      <c r="H44" s="3">
        <f>Assumptions!$B63</f>
        <v>3</v>
      </c>
      <c r="I44" s="3">
        <f>Assumptions!$B63</f>
        <v>3</v>
      </c>
      <c r="J44" s="3">
        <f>Assumptions!$B63</f>
        <v>3</v>
      </c>
      <c r="K44" s="3">
        <f>Assumptions!$B63</f>
        <v>3</v>
      </c>
      <c r="L44" s="3">
        <f>Assumptions!$B63</f>
        <v>3</v>
      </c>
      <c r="M44" s="3">
        <f>Assumptions!$B63</f>
        <v>3</v>
      </c>
      <c r="O44" s="4"/>
      <c r="P44" s="3">
        <f>Assumptions!$C63</f>
        <v>5</v>
      </c>
      <c r="Q44" s="3">
        <f>Assumptions!$C63</f>
        <v>5</v>
      </c>
      <c r="R44" s="3">
        <f>Assumptions!$C63</f>
        <v>5</v>
      </c>
      <c r="S44" s="3">
        <f>Assumptions!$C63</f>
        <v>5</v>
      </c>
      <c r="T44" s="3">
        <f>Assumptions!$C63</f>
        <v>5</v>
      </c>
      <c r="U44" s="3">
        <f>Assumptions!$C63</f>
        <v>5</v>
      </c>
      <c r="V44" s="3">
        <f>Assumptions!$C63</f>
        <v>5</v>
      </c>
      <c r="W44" s="3">
        <f>Assumptions!$C63</f>
        <v>5</v>
      </c>
      <c r="X44" s="3">
        <f>Assumptions!$C63</f>
        <v>5</v>
      </c>
      <c r="Y44" s="3">
        <f>Assumptions!$C63</f>
        <v>5</v>
      </c>
      <c r="Z44" s="3">
        <f>Assumptions!$C63</f>
        <v>5</v>
      </c>
      <c r="AA44" s="3">
        <f>Assumptions!$C63</f>
        <v>5</v>
      </c>
      <c r="AD44" s="3">
        <f>Assumptions!$D63</f>
        <v>8</v>
      </c>
      <c r="AE44" s="3">
        <f>Assumptions!$D63</f>
        <v>8</v>
      </c>
      <c r="AF44" s="3">
        <f>Assumptions!$D63</f>
        <v>8</v>
      </c>
      <c r="AG44" s="3">
        <f>Assumptions!$D63</f>
        <v>8</v>
      </c>
      <c r="AH44" s="3">
        <f>Assumptions!$D63</f>
        <v>8</v>
      </c>
      <c r="AI44" s="3">
        <f>Assumptions!$D63</f>
        <v>8</v>
      </c>
      <c r="AJ44" s="3">
        <f>Assumptions!$D63</f>
        <v>8</v>
      </c>
      <c r="AK44" s="3">
        <f>Assumptions!$D63</f>
        <v>8</v>
      </c>
      <c r="AL44" s="3">
        <f>Assumptions!$D63</f>
        <v>8</v>
      </c>
      <c r="AM44" s="3">
        <f>Assumptions!$D63</f>
        <v>8</v>
      </c>
      <c r="AN44" s="3">
        <f>Assumptions!$D63</f>
        <v>8</v>
      </c>
      <c r="AO44" s="3">
        <f>Assumptions!$D63</f>
        <v>8</v>
      </c>
    </row>
    <row r="45" ht="15.75" customHeight="1">
      <c r="A45" s="1" t="s">
        <v>278</v>
      </c>
      <c r="B45" s="3">
        <f>Assumptions!$B64</f>
        <v>1</v>
      </c>
      <c r="C45" s="3">
        <f>Assumptions!$B64</f>
        <v>1</v>
      </c>
      <c r="D45" s="3">
        <f>Assumptions!$B64</f>
        <v>1</v>
      </c>
      <c r="E45" s="3">
        <f>Assumptions!$B64</f>
        <v>1</v>
      </c>
      <c r="F45" s="3">
        <f>Assumptions!$B64</f>
        <v>1</v>
      </c>
      <c r="G45" s="3">
        <f>Assumptions!$B64</f>
        <v>1</v>
      </c>
      <c r="H45" s="3">
        <f>Assumptions!$B64</f>
        <v>1</v>
      </c>
      <c r="I45" s="3">
        <f>Assumptions!$B64</f>
        <v>1</v>
      </c>
      <c r="J45" s="3">
        <f>Assumptions!$B64</f>
        <v>1</v>
      </c>
      <c r="K45" s="3">
        <f>Assumptions!$B64</f>
        <v>1</v>
      </c>
      <c r="L45" s="3">
        <f>Assumptions!$B64</f>
        <v>1</v>
      </c>
      <c r="M45" s="3">
        <f>Assumptions!$B64</f>
        <v>1</v>
      </c>
      <c r="O45" s="4"/>
      <c r="P45" s="3">
        <f>Assumptions!$C64</f>
        <v>2</v>
      </c>
      <c r="Q45" s="3">
        <f>Assumptions!$C64</f>
        <v>2</v>
      </c>
      <c r="R45" s="3">
        <f>Assumptions!$C64</f>
        <v>2</v>
      </c>
      <c r="S45" s="3">
        <f>Assumptions!$C64</f>
        <v>2</v>
      </c>
      <c r="T45" s="3">
        <f>Assumptions!$C64</f>
        <v>2</v>
      </c>
      <c r="U45" s="3">
        <f>Assumptions!$C64</f>
        <v>2</v>
      </c>
      <c r="V45" s="3">
        <f>Assumptions!$C64</f>
        <v>2</v>
      </c>
      <c r="W45" s="3">
        <f>Assumptions!$C64</f>
        <v>2</v>
      </c>
      <c r="X45" s="3">
        <f>Assumptions!$C64</f>
        <v>2</v>
      </c>
      <c r="Y45" s="3">
        <f>Assumptions!$C64</f>
        <v>2</v>
      </c>
      <c r="Z45" s="3">
        <f>Assumptions!$C64</f>
        <v>2</v>
      </c>
      <c r="AA45" s="3">
        <f>Assumptions!$C64</f>
        <v>2</v>
      </c>
      <c r="AD45" s="3">
        <f>Assumptions!$D64</f>
        <v>3</v>
      </c>
      <c r="AE45" s="3">
        <f>Assumptions!$D64</f>
        <v>3</v>
      </c>
      <c r="AF45" s="3">
        <f>Assumptions!$D64</f>
        <v>3</v>
      </c>
      <c r="AG45" s="3">
        <f>Assumptions!$D64</f>
        <v>3</v>
      </c>
      <c r="AH45" s="3">
        <f>Assumptions!$D64</f>
        <v>3</v>
      </c>
      <c r="AI45" s="3">
        <f>Assumptions!$D64</f>
        <v>3</v>
      </c>
      <c r="AJ45" s="3">
        <f>Assumptions!$D64</f>
        <v>3</v>
      </c>
      <c r="AK45" s="3">
        <f>Assumptions!$D64</f>
        <v>3</v>
      </c>
      <c r="AL45" s="3">
        <f>Assumptions!$D64</f>
        <v>3</v>
      </c>
      <c r="AM45" s="3">
        <f>Assumptions!$D64</f>
        <v>3</v>
      </c>
      <c r="AN45" s="3">
        <f>Assumptions!$D64</f>
        <v>3</v>
      </c>
      <c r="AO45" s="3">
        <f>Assumptions!$D64</f>
        <v>3</v>
      </c>
    </row>
    <row r="46" ht="15.75" customHeight="1">
      <c r="A46" s="1" t="s">
        <v>279</v>
      </c>
      <c r="B46" s="3">
        <f>Assumptions!$B65</f>
        <v>1</v>
      </c>
      <c r="C46" s="3">
        <f>Assumptions!$B65</f>
        <v>1</v>
      </c>
      <c r="D46" s="3">
        <f>Assumptions!$B65</f>
        <v>1</v>
      </c>
      <c r="E46" s="3">
        <f>Assumptions!$B65</f>
        <v>1</v>
      </c>
      <c r="F46" s="3">
        <f>Assumptions!$B65</f>
        <v>1</v>
      </c>
      <c r="G46" s="3">
        <f>Assumptions!$B65</f>
        <v>1</v>
      </c>
      <c r="H46" s="3">
        <f>Assumptions!$B65</f>
        <v>1</v>
      </c>
      <c r="I46" s="3">
        <f>Assumptions!$B65</f>
        <v>1</v>
      </c>
      <c r="J46" s="3">
        <f>Assumptions!$B65</f>
        <v>1</v>
      </c>
      <c r="K46" s="3">
        <f>Assumptions!$B65</f>
        <v>1</v>
      </c>
      <c r="L46" s="3">
        <f>Assumptions!$B65</f>
        <v>1</v>
      </c>
      <c r="M46" s="3">
        <f>Assumptions!$B65</f>
        <v>1</v>
      </c>
      <c r="O46" s="4"/>
      <c r="P46" s="3">
        <f>Assumptions!$C65</f>
        <v>2</v>
      </c>
      <c r="Q46" s="3">
        <f>Assumptions!$C65</f>
        <v>2</v>
      </c>
      <c r="R46" s="3">
        <f>Assumptions!$C65</f>
        <v>2</v>
      </c>
      <c r="S46" s="3">
        <f>Assumptions!$C65</f>
        <v>2</v>
      </c>
      <c r="T46" s="3">
        <f>Assumptions!$C65</f>
        <v>2</v>
      </c>
      <c r="U46" s="3">
        <f>Assumptions!$C65</f>
        <v>2</v>
      </c>
      <c r="V46" s="3">
        <f>Assumptions!$C65</f>
        <v>2</v>
      </c>
      <c r="W46" s="3">
        <f>Assumptions!$C65</f>
        <v>2</v>
      </c>
      <c r="X46" s="3">
        <f>Assumptions!$C65</f>
        <v>2</v>
      </c>
      <c r="Y46" s="3">
        <f>Assumptions!$C65</f>
        <v>2</v>
      </c>
      <c r="Z46" s="3">
        <f>Assumptions!$C65</f>
        <v>2</v>
      </c>
      <c r="AA46" s="3">
        <f>Assumptions!$C65</f>
        <v>2</v>
      </c>
      <c r="AD46" s="3">
        <f>Assumptions!$D65</f>
        <v>3</v>
      </c>
      <c r="AE46" s="3">
        <f>Assumptions!$D65</f>
        <v>3</v>
      </c>
      <c r="AF46" s="3">
        <f>Assumptions!$D65</f>
        <v>3</v>
      </c>
      <c r="AG46" s="3">
        <f>Assumptions!$D65</f>
        <v>3</v>
      </c>
      <c r="AH46" s="3">
        <f>Assumptions!$D65</f>
        <v>3</v>
      </c>
      <c r="AI46" s="3">
        <f>Assumptions!$D65</f>
        <v>3</v>
      </c>
      <c r="AJ46" s="3">
        <f>Assumptions!$D65</f>
        <v>3</v>
      </c>
      <c r="AK46" s="3">
        <f>Assumptions!$D65</f>
        <v>3</v>
      </c>
      <c r="AL46" s="3">
        <f>Assumptions!$D65</f>
        <v>3</v>
      </c>
      <c r="AM46" s="3">
        <f>Assumptions!$D65</f>
        <v>3</v>
      </c>
      <c r="AN46" s="3">
        <f>Assumptions!$D65</f>
        <v>3</v>
      </c>
      <c r="AO46" s="3">
        <f>Assumptions!$D65</f>
        <v>3</v>
      </c>
    </row>
    <row r="47" ht="15.75" customHeight="1">
      <c r="N47" s="4" t="s">
        <v>280</v>
      </c>
    </row>
    <row r="48" ht="15.75" customHeight="1">
      <c r="A48" s="1" t="s">
        <v>200</v>
      </c>
      <c r="B48" s="7">
        <f>(B44*Assumptions!$B$56)/12</f>
        <v>20000</v>
      </c>
      <c r="C48" s="7">
        <f>(C44*Assumptions!$B$56)/12</f>
        <v>20000</v>
      </c>
      <c r="D48" s="7">
        <f>(D44*Assumptions!$B$56)/12</f>
        <v>20000</v>
      </c>
      <c r="E48" s="7">
        <f>(E44*Assumptions!$B$56)/12</f>
        <v>20000</v>
      </c>
      <c r="F48" s="7">
        <f>(F44*Assumptions!$B$56)/12</f>
        <v>20000</v>
      </c>
      <c r="G48" s="7">
        <f>(G44*Assumptions!$B$56)/12</f>
        <v>20000</v>
      </c>
      <c r="H48" s="7">
        <f>(H44*Assumptions!$B$56)/12</f>
        <v>20000</v>
      </c>
      <c r="I48" s="7">
        <f>(I44*Assumptions!$B$56)/12</f>
        <v>20000</v>
      </c>
      <c r="J48" s="7">
        <f>(J44*Assumptions!$B$56)/12</f>
        <v>20000</v>
      </c>
      <c r="K48" s="7">
        <f>(K44*Assumptions!$B$56)/12</f>
        <v>20000</v>
      </c>
      <c r="L48" s="7">
        <f>(L44*Assumptions!$B$56)/12</f>
        <v>20000</v>
      </c>
      <c r="M48" s="7">
        <f>(M44*Assumptions!$B$56)/12</f>
        <v>20000</v>
      </c>
      <c r="N48" s="7">
        <f t="shared" ref="N48:N52" si="8">SUM(B48:M48)</f>
        <v>240000</v>
      </c>
      <c r="O48" s="7"/>
      <c r="P48" s="7">
        <f>(P44*Assumptions!$B$56)/12</f>
        <v>33333.33333</v>
      </c>
      <c r="Q48" s="7">
        <f>(Q44*Assumptions!$B$56)/12</f>
        <v>33333.33333</v>
      </c>
      <c r="R48" s="7">
        <f>(R44*Assumptions!$B$56)/12</f>
        <v>33333.33333</v>
      </c>
      <c r="S48" s="7">
        <f>(S44*Assumptions!$B$56)/12</f>
        <v>33333.33333</v>
      </c>
      <c r="T48" s="7">
        <f>(T44*Assumptions!$B$56)/12</f>
        <v>33333.33333</v>
      </c>
      <c r="U48" s="7">
        <f>(U44*Assumptions!$B$56)/12</f>
        <v>33333.33333</v>
      </c>
      <c r="V48" s="7">
        <f>(V44*Assumptions!$B$56)/12</f>
        <v>33333.33333</v>
      </c>
      <c r="W48" s="7">
        <f>(W44*Assumptions!$B$56)/12</f>
        <v>33333.33333</v>
      </c>
      <c r="X48" s="7">
        <f>(X44*Assumptions!$B$56)/12</f>
        <v>33333.33333</v>
      </c>
      <c r="Y48" s="7">
        <f>(Y44*Assumptions!$B$56)/12</f>
        <v>33333.33333</v>
      </c>
      <c r="Z48" s="7">
        <f>(Z44*Assumptions!$B$56)/12</f>
        <v>33333.33333</v>
      </c>
      <c r="AA48" s="7">
        <f>(AA44*Assumptions!$B$56)/12</f>
        <v>33333.33333</v>
      </c>
      <c r="AD48" s="7">
        <f>(AD44*Assumptions!$B$56)/12</f>
        <v>53333.33333</v>
      </c>
      <c r="AE48" s="7">
        <f>(AE44*Assumptions!$B$56)/12</f>
        <v>53333.33333</v>
      </c>
      <c r="AF48" s="7">
        <f>(AF44*Assumptions!$B$56)/12</f>
        <v>53333.33333</v>
      </c>
      <c r="AG48" s="7">
        <f>(AG44*Assumptions!$B$56)/12</f>
        <v>53333.33333</v>
      </c>
      <c r="AH48" s="7">
        <f>(AH44*Assumptions!$B$56)/12</f>
        <v>53333.33333</v>
      </c>
      <c r="AI48" s="7">
        <f>(AI44*Assumptions!$B$56)/12</f>
        <v>53333.33333</v>
      </c>
      <c r="AJ48" s="7">
        <f>(AJ44*Assumptions!$B$56)/12</f>
        <v>53333.33333</v>
      </c>
      <c r="AK48" s="7">
        <f>(AK44*Assumptions!$B$56)/12</f>
        <v>53333.33333</v>
      </c>
      <c r="AL48" s="7">
        <f>(AL44*Assumptions!$B$56)/12</f>
        <v>53333.33333</v>
      </c>
      <c r="AM48" s="7">
        <f>(AM44*Assumptions!$B$56)/12</f>
        <v>53333.33333</v>
      </c>
      <c r="AN48" s="7">
        <f>(AN44*Assumptions!$B$56)/12</f>
        <v>53333.33333</v>
      </c>
      <c r="AO48" s="7">
        <f>(AO44*Assumptions!$B$56)/12</f>
        <v>53333.33333</v>
      </c>
    </row>
    <row r="49" ht="15.75" customHeight="1">
      <c r="A49" s="1" t="s">
        <v>281</v>
      </c>
      <c r="B49" s="7">
        <f>(B45*Assumptions!$B$59)/12</f>
        <v>7083.333333</v>
      </c>
      <c r="C49" s="7">
        <f>(C45*Assumptions!$B$59)/12</f>
        <v>7083.333333</v>
      </c>
      <c r="D49" s="7">
        <f>(D45*Assumptions!$B$59)/12</f>
        <v>7083.333333</v>
      </c>
      <c r="E49" s="7">
        <f>(E45*Assumptions!$B$59)/12</f>
        <v>7083.333333</v>
      </c>
      <c r="F49" s="7">
        <f>(F45*Assumptions!$B$59)/12</f>
        <v>7083.333333</v>
      </c>
      <c r="G49" s="7">
        <f>(G45*Assumptions!$B$59)/12</f>
        <v>7083.333333</v>
      </c>
      <c r="H49" s="7">
        <f>(H45*Assumptions!$B$59)/12</f>
        <v>7083.333333</v>
      </c>
      <c r="I49" s="7">
        <f>(I45*Assumptions!$B$59)/12</f>
        <v>7083.333333</v>
      </c>
      <c r="J49" s="7">
        <f>(J45*Assumptions!$B$59)/12</f>
        <v>7083.333333</v>
      </c>
      <c r="K49" s="7">
        <f>(K45*Assumptions!$B$59)/12</f>
        <v>7083.333333</v>
      </c>
      <c r="L49" s="7">
        <f>(L45*Assumptions!$B$59)/12</f>
        <v>7083.333333</v>
      </c>
      <c r="M49" s="7">
        <f>(M45*Assumptions!$B$59)/12</f>
        <v>7083.333333</v>
      </c>
      <c r="N49" s="7">
        <f t="shared" si="8"/>
        <v>85000</v>
      </c>
      <c r="O49" s="7"/>
      <c r="P49" s="7">
        <f>(P45*Assumptions!$B$59)/12</f>
        <v>14166.66667</v>
      </c>
      <c r="Q49" s="7">
        <f>(Q45*Assumptions!$B$59)/12</f>
        <v>14166.66667</v>
      </c>
      <c r="R49" s="7">
        <f>(R45*Assumptions!$B$59)/12</f>
        <v>14166.66667</v>
      </c>
      <c r="S49" s="7">
        <f>(S45*Assumptions!$B$59)/12</f>
        <v>14166.66667</v>
      </c>
      <c r="T49" s="7">
        <f>(T45*Assumptions!$B$59)/12</f>
        <v>14166.66667</v>
      </c>
      <c r="U49" s="7">
        <f>(U45*Assumptions!$B$59)/12</f>
        <v>14166.66667</v>
      </c>
      <c r="V49" s="7">
        <f>(V45*Assumptions!$B$59)/12</f>
        <v>14166.66667</v>
      </c>
      <c r="W49" s="7">
        <f>(W45*Assumptions!$B$59)/12</f>
        <v>14166.66667</v>
      </c>
      <c r="X49" s="7">
        <f>(X45*Assumptions!$B$59)/12</f>
        <v>14166.66667</v>
      </c>
      <c r="Y49" s="7">
        <f>(Y45*Assumptions!$B$59)/12</f>
        <v>14166.66667</v>
      </c>
      <c r="Z49" s="7">
        <f>(Z45*Assumptions!$B$59)/12</f>
        <v>14166.66667</v>
      </c>
      <c r="AA49" s="7">
        <f>(AA45*Assumptions!$B$59)/12</f>
        <v>14166.66667</v>
      </c>
      <c r="AD49" s="7">
        <f>(AD45*Assumptions!$B$59)/12</f>
        <v>21250</v>
      </c>
      <c r="AE49" s="7">
        <f>(AE45*Assumptions!$B$59)/12</f>
        <v>21250</v>
      </c>
      <c r="AF49" s="7">
        <f>(AF45*Assumptions!$B$59)/12</f>
        <v>21250</v>
      </c>
      <c r="AG49" s="7">
        <f>(AG45*Assumptions!$B$59)/12</f>
        <v>21250</v>
      </c>
      <c r="AH49" s="7">
        <f>(AH45*Assumptions!$B$59)/12</f>
        <v>21250</v>
      </c>
      <c r="AI49" s="7">
        <f>(AI45*Assumptions!$B$59)/12</f>
        <v>21250</v>
      </c>
      <c r="AJ49" s="7">
        <f>(AJ45*Assumptions!$B$59)/12</f>
        <v>21250</v>
      </c>
      <c r="AK49" s="7">
        <f>(AK45*Assumptions!$B$59)/12</f>
        <v>21250</v>
      </c>
      <c r="AL49" s="7">
        <f>(AL45*Assumptions!$B$59)/12</f>
        <v>21250</v>
      </c>
      <c r="AM49" s="7">
        <f>(AM45*Assumptions!$B$59)/12</f>
        <v>21250</v>
      </c>
      <c r="AN49" s="7">
        <f>(AN45*Assumptions!$B$59)/12</f>
        <v>21250</v>
      </c>
      <c r="AO49" s="7">
        <f>(AO45*Assumptions!$B$59)/12</f>
        <v>21250</v>
      </c>
    </row>
    <row r="50" ht="15.75" customHeight="1">
      <c r="A50" s="1" t="s">
        <v>282</v>
      </c>
      <c r="B50" s="7">
        <f>(B46*Assumptions!$B$58)/12</f>
        <v>5833.333333</v>
      </c>
      <c r="C50" s="7">
        <f>(C46*Assumptions!$B$58)/12</f>
        <v>5833.333333</v>
      </c>
      <c r="D50" s="7">
        <f>(D46*Assumptions!$B$58)/12</f>
        <v>5833.333333</v>
      </c>
      <c r="E50" s="7">
        <f>(E46*Assumptions!$B$58)/12</f>
        <v>5833.333333</v>
      </c>
      <c r="F50" s="7">
        <f>(F46*Assumptions!$B$58)/12</f>
        <v>5833.333333</v>
      </c>
      <c r="G50" s="7">
        <f>(G46*Assumptions!$B$58)/12</f>
        <v>5833.333333</v>
      </c>
      <c r="H50" s="7">
        <f>(H46*Assumptions!$B$58)/12</f>
        <v>5833.333333</v>
      </c>
      <c r="I50" s="7">
        <f>(I46*Assumptions!$B$58)/12</f>
        <v>5833.333333</v>
      </c>
      <c r="J50" s="7">
        <f>(J46*Assumptions!$B$58)/12</f>
        <v>5833.333333</v>
      </c>
      <c r="K50" s="7">
        <f>(K46*Assumptions!$B$58)/12</f>
        <v>5833.333333</v>
      </c>
      <c r="L50" s="7">
        <f>(L46*Assumptions!$B$58)/12</f>
        <v>5833.333333</v>
      </c>
      <c r="M50" s="7">
        <f>(M46*Assumptions!$B$58)/12</f>
        <v>5833.333333</v>
      </c>
      <c r="N50" s="7">
        <f t="shared" si="8"/>
        <v>70000</v>
      </c>
      <c r="O50" s="7"/>
      <c r="P50" s="7">
        <f>(P46*Assumptions!$B$58)/12</f>
        <v>11666.66667</v>
      </c>
      <c r="Q50" s="7">
        <f>(Q46*Assumptions!$B$58)/12</f>
        <v>11666.66667</v>
      </c>
      <c r="R50" s="7">
        <f>(R46*Assumptions!$B$58)/12</f>
        <v>11666.66667</v>
      </c>
      <c r="S50" s="7">
        <f>(S46*Assumptions!$B$58)/12</f>
        <v>11666.66667</v>
      </c>
      <c r="T50" s="7">
        <f>(T46*Assumptions!$B$58)/12</f>
        <v>11666.66667</v>
      </c>
      <c r="U50" s="7">
        <f>(U46*Assumptions!$B$58)/12</f>
        <v>11666.66667</v>
      </c>
      <c r="V50" s="7">
        <f>(V46*Assumptions!$B$58)/12</f>
        <v>11666.66667</v>
      </c>
      <c r="W50" s="7">
        <f>(W46*Assumptions!$B$58)/12</f>
        <v>11666.66667</v>
      </c>
      <c r="X50" s="7">
        <f>(X46*Assumptions!$B$58)/12</f>
        <v>11666.66667</v>
      </c>
      <c r="Y50" s="7">
        <f>(Y46*Assumptions!$B$58)/12</f>
        <v>11666.66667</v>
      </c>
      <c r="Z50" s="7">
        <f>(Z46*Assumptions!$B$58)/12</f>
        <v>11666.66667</v>
      </c>
      <c r="AA50" s="7">
        <f>(AA46*Assumptions!$B$58)/12</f>
        <v>11666.66667</v>
      </c>
      <c r="AD50" s="7">
        <f>(AD46*Assumptions!$B$58)/12</f>
        <v>17500</v>
      </c>
      <c r="AE50" s="7">
        <f>(AE46*Assumptions!$B$58)/12</f>
        <v>17500</v>
      </c>
      <c r="AF50" s="7">
        <f>(AF46*Assumptions!$B$58)/12</f>
        <v>17500</v>
      </c>
      <c r="AG50" s="7">
        <f>(AG46*Assumptions!$B$58)/12</f>
        <v>17500</v>
      </c>
      <c r="AH50" s="7">
        <f>(AH46*Assumptions!$B$58)/12</f>
        <v>17500</v>
      </c>
      <c r="AI50" s="7">
        <f>(AI46*Assumptions!$B$58)/12</f>
        <v>17500</v>
      </c>
      <c r="AJ50" s="7">
        <f>(AJ46*Assumptions!$B$58)/12</f>
        <v>17500</v>
      </c>
      <c r="AK50" s="7">
        <f>(AK46*Assumptions!$B$58)/12</f>
        <v>17500</v>
      </c>
      <c r="AL50" s="7">
        <f>(AL46*Assumptions!$B$58)/12</f>
        <v>17500</v>
      </c>
      <c r="AM50" s="7">
        <f>(AM46*Assumptions!$B$58)/12</f>
        <v>17500</v>
      </c>
      <c r="AN50" s="7">
        <f>(AN46*Assumptions!$B$58)/12</f>
        <v>17500</v>
      </c>
      <c r="AO50" s="7">
        <f>(AO46*Assumptions!$B$58)/12</f>
        <v>17500</v>
      </c>
    </row>
    <row r="51" ht="15.75" customHeight="1">
      <c r="A51" s="1" t="s">
        <v>283</v>
      </c>
      <c r="B51" s="7">
        <f>SUM(B48:B50)*Assumptions!$B$60</f>
        <v>8229.166667</v>
      </c>
      <c r="C51" s="7">
        <f>SUM(C48:C50)*Assumptions!$B$60</f>
        <v>8229.166667</v>
      </c>
      <c r="D51" s="7">
        <f>SUM(D48:D50)*Assumptions!$B$60</f>
        <v>8229.166667</v>
      </c>
      <c r="E51" s="7">
        <f>SUM(E48:E50)*Assumptions!$B$60</f>
        <v>8229.166667</v>
      </c>
      <c r="F51" s="7">
        <f>SUM(F48:F50)*Assumptions!$B$60</f>
        <v>8229.166667</v>
      </c>
      <c r="G51" s="7">
        <f>SUM(G48:G50)*Assumptions!$B$60</f>
        <v>8229.166667</v>
      </c>
      <c r="H51" s="7">
        <f>SUM(H48:H50)*Assumptions!$B$60</f>
        <v>8229.166667</v>
      </c>
      <c r="I51" s="7">
        <f>SUM(I48:I50)*Assumptions!$B$60</f>
        <v>8229.166667</v>
      </c>
      <c r="J51" s="7">
        <f>SUM(J48:J50)*Assumptions!$B$60</f>
        <v>8229.166667</v>
      </c>
      <c r="K51" s="7">
        <f>SUM(K48:K50)*Assumptions!$B$60</f>
        <v>8229.166667</v>
      </c>
      <c r="L51" s="7">
        <f>SUM(L48:L50)*Assumptions!$B$60</f>
        <v>8229.166667</v>
      </c>
      <c r="M51" s="7">
        <f>SUM(M48:M50)*Assumptions!$B$60</f>
        <v>8229.166667</v>
      </c>
      <c r="N51" s="7">
        <f t="shared" si="8"/>
        <v>98750</v>
      </c>
      <c r="O51" s="7"/>
      <c r="P51" s="7">
        <f>SUM(P48:P50)*Assumptions!$B$60</f>
        <v>14791.66667</v>
      </c>
      <c r="Q51" s="7">
        <f>SUM(Q48:Q50)*Assumptions!$B$60</f>
        <v>14791.66667</v>
      </c>
      <c r="R51" s="7">
        <f>SUM(R48:R50)*Assumptions!$B$60</f>
        <v>14791.66667</v>
      </c>
      <c r="S51" s="7">
        <f>SUM(S48:S50)*Assumptions!$B$60</f>
        <v>14791.66667</v>
      </c>
      <c r="T51" s="7">
        <f>SUM(T48:T50)*Assumptions!$B$60</f>
        <v>14791.66667</v>
      </c>
      <c r="U51" s="7">
        <f>SUM(U48:U50)*Assumptions!$B$60</f>
        <v>14791.66667</v>
      </c>
      <c r="V51" s="7">
        <f>SUM(V48:V50)*Assumptions!$B$60</f>
        <v>14791.66667</v>
      </c>
      <c r="W51" s="7">
        <f>SUM(W48:W50)*Assumptions!$B$60</f>
        <v>14791.66667</v>
      </c>
      <c r="X51" s="7">
        <f>SUM(X48:X50)*Assumptions!$B$60</f>
        <v>14791.66667</v>
      </c>
      <c r="Y51" s="7">
        <f>SUM(Y48:Y50)*Assumptions!$B$60</f>
        <v>14791.66667</v>
      </c>
      <c r="Z51" s="7">
        <f>SUM(Z48:Z50)*Assumptions!$B$60</f>
        <v>14791.66667</v>
      </c>
      <c r="AA51" s="7">
        <f>SUM(AA48:AA50)*Assumptions!$B$60</f>
        <v>14791.66667</v>
      </c>
      <c r="AD51" s="7">
        <f>SUM(AD48:AD50)*Assumptions!$B$60</f>
        <v>23020.83333</v>
      </c>
      <c r="AE51" s="7">
        <f>SUM(AE48:AE50)*Assumptions!$B$60</f>
        <v>23020.83333</v>
      </c>
      <c r="AF51" s="7">
        <f>SUM(AF48:AF50)*Assumptions!$B$60</f>
        <v>23020.83333</v>
      </c>
      <c r="AG51" s="7">
        <f>SUM(AG48:AG50)*Assumptions!$B$60</f>
        <v>23020.83333</v>
      </c>
      <c r="AH51" s="7">
        <f>SUM(AH48:AH50)*Assumptions!$B$60</f>
        <v>23020.83333</v>
      </c>
      <c r="AI51" s="7">
        <f>SUM(AI48:AI50)*Assumptions!$B$60</f>
        <v>23020.83333</v>
      </c>
      <c r="AJ51" s="7">
        <f>SUM(AJ48:AJ50)*Assumptions!$B$60</f>
        <v>23020.83333</v>
      </c>
      <c r="AK51" s="7">
        <f>SUM(AK48:AK50)*Assumptions!$B$60</f>
        <v>23020.83333</v>
      </c>
      <c r="AL51" s="7">
        <f>SUM(AL48:AL50)*Assumptions!$B$60</f>
        <v>23020.83333</v>
      </c>
      <c r="AM51" s="7">
        <f>SUM(AM48:AM50)*Assumptions!$B$60</f>
        <v>23020.83333</v>
      </c>
      <c r="AN51" s="7">
        <f>SUM(AN48:AN50)*Assumptions!$B$60</f>
        <v>23020.83333</v>
      </c>
      <c r="AO51" s="7">
        <f>SUM(AO48:AO50)*Assumptions!$B$60</f>
        <v>23020.83333</v>
      </c>
    </row>
    <row r="52" ht="15.75" customHeight="1">
      <c r="A52" s="1" t="s">
        <v>284</v>
      </c>
      <c r="B52" s="7">
        <f t="shared" ref="B52:M52" si="9">SUM(B48:B51)</f>
        <v>41145.83333</v>
      </c>
      <c r="C52" s="7">
        <f t="shared" si="9"/>
        <v>41145.83333</v>
      </c>
      <c r="D52" s="7">
        <f t="shared" si="9"/>
        <v>41145.83333</v>
      </c>
      <c r="E52" s="7">
        <f t="shared" si="9"/>
        <v>41145.83333</v>
      </c>
      <c r="F52" s="7">
        <f t="shared" si="9"/>
        <v>41145.83333</v>
      </c>
      <c r="G52" s="7">
        <f t="shared" si="9"/>
        <v>41145.83333</v>
      </c>
      <c r="H52" s="7">
        <f t="shared" si="9"/>
        <v>41145.83333</v>
      </c>
      <c r="I52" s="7">
        <f t="shared" si="9"/>
        <v>41145.83333</v>
      </c>
      <c r="J52" s="7">
        <f t="shared" si="9"/>
        <v>41145.83333</v>
      </c>
      <c r="K52" s="7">
        <f t="shared" si="9"/>
        <v>41145.83333</v>
      </c>
      <c r="L52" s="7">
        <f t="shared" si="9"/>
        <v>41145.83333</v>
      </c>
      <c r="M52" s="7">
        <f t="shared" si="9"/>
        <v>41145.83333</v>
      </c>
      <c r="N52" s="7">
        <f t="shared" si="8"/>
        <v>493750</v>
      </c>
      <c r="O52" s="7"/>
      <c r="P52" s="7">
        <f t="shared" ref="P52:AA52" si="10">SUM(P48:P51)</f>
        <v>73958.33333</v>
      </c>
      <c r="Q52" s="7">
        <f t="shared" si="10"/>
        <v>73958.33333</v>
      </c>
      <c r="R52" s="7">
        <f t="shared" si="10"/>
        <v>73958.33333</v>
      </c>
      <c r="S52" s="7">
        <f t="shared" si="10"/>
        <v>73958.33333</v>
      </c>
      <c r="T52" s="7">
        <f t="shared" si="10"/>
        <v>73958.33333</v>
      </c>
      <c r="U52" s="7">
        <f t="shared" si="10"/>
        <v>73958.33333</v>
      </c>
      <c r="V52" s="7">
        <f t="shared" si="10"/>
        <v>73958.33333</v>
      </c>
      <c r="W52" s="7">
        <f t="shared" si="10"/>
        <v>73958.33333</v>
      </c>
      <c r="X52" s="7">
        <f t="shared" si="10"/>
        <v>73958.33333</v>
      </c>
      <c r="Y52" s="7">
        <f t="shared" si="10"/>
        <v>73958.33333</v>
      </c>
      <c r="Z52" s="7">
        <f t="shared" si="10"/>
        <v>73958.33333</v>
      </c>
      <c r="AA52" s="7">
        <f t="shared" si="10"/>
        <v>73958.33333</v>
      </c>
      <c r="AD52" s="7">
        <f t="shared" ref="AD52:AO52" si="11">SUM(AD48:AD51)</f>
        <v>115104.1667</v>
      </c>
      <c r="AE52" s="7">
        <f t="shared" si="11"/>
        <v>115104.1667</v>
      </c>
      <c r="AF52" s="7">
        <f t="shared" si="11"/>
        <v>115104.1667</v>
      </c>
      <c r="AG52" s="7">
        <f t="shared" si="11"/>
        <v>115104.1667</v>
      </c>
      <c r="AH52" s="7">
        <f t="shared" si="11"/>
        <v>115104.1667</v>
      </c>
      <c r="AI52" s="7">
        <f t="shared" si="11"/>
        <v>115104.1667</v>
      </c>
      <c r="AJ52" s="7">
        <f t="shared" si="11"/>
        <v>115104.1667</v>
      </c>
      <c r="AK52" s="7">
        <f t="shared" si="11"/>
        <v>115104.1667</v>
      </c>
      <c r="AL52" s="7">
        <f t="shared" si="11"/>
        <v>115104.1667</v>
      </c>
      <c r="AM52" s="7">
        <f t="shared" si="11"/>
        <v>115104.1667</v>
      </c>
      <c r="AN52" s="7">
        <f t="shared" si="11"/>
        <v>115104.1667</v>
      </c>
      <c r="AO52" s="7">
        <f t="shared" si="11"/>
        <v>115104.1667</v>
      </c>
    </row>
    <row r="53" ht="15.75" customHeight="1"/>
    <row r="54" ht="15.75" customHeight="1">
      <c r="A54" s="1" t="s">
        <v>285</v>
      </c>
    </row>
    <row r="55" ht="15.75" customHeight="1">
      <c r="A55" s="1" t="s">
        <v>129</v>
      </c>
      <c r="B55" s="7">
        <f>Assumptions!$B68</f>
        <v>1000</v>
      </c>
      <c r="C55" s="7">
        <f>Assumptions!$B68</f>
        <v>1000</v>
      </c>
      <c r="D55" s="7">
        <f>Assumptions!$B68</f>
        <v>1000</v>
      </c>
      <c r="E55" s="7">
        <f>Assumptions!$B68</f>
        <v>1000</v>
      </c>
      <c r="F55" s="7">
        <f>Assumptions!$B68</f>
        <v>1000</v>
      </c>
      <c r="G55" s="7">
        <f>Assumptions!$B68</f>
        <v>1000</v>
      </c>
      <c r="H55" s="7">
        <f>Assumptions!$B68</f>
        <v>1000</v>
      </c>
      <c r="I55" s="7">
        <f>Assumptions!$B68</f>
        <v>1000</v>
      </c>
      <c r="J55" s="7">
        <f>Assumptions!$B68</f>
        <v>1000</v>
      </c>
      <c r="K55" s="7">
        <f>Assumptions!$B68</f>
        <v>1000</v>
      </c>
      <c r="L55" s="7">
        <f>Assumptions!$B68</f>
        <v>1000</v>
      </c>
      <c r="M55" s="7">
        <f>Assumptions!$B68</f>
        <v>1000</v>
      </c>
      <c r="N55" s="7">
        <f t="shared" ref="N55:N60" si="12">SUM(B55:M55)</f>
        <v>12000</v>
      </c>
      <c r="P55" s="7">
        <f>Assumptions!$B68*180%</f>
        <v>1800</v>
      </c>
      <c r="Q55" s="7">
        <f>Assumptions!$B68*180%</f>
        <v>1800</v>
      </c>
      <c r="R55" s="7">
        <f>Assumptions!$B68*180%</f>
        <v>1800</v>
      </c>
      <c r="S55" s="7">
        <f>Assumptions!$B68*180%</f>
        <v>1800</v>
      </c>
      <c r="T55" s="7">
        <f>Assumptions!$B68*180%</f>
        <v>1800</v>
      </c>
      <c r="U55" s="7">
        <f>Assumptions!$B68*180%</f>
        <v>1800</v>
      </c>
      <c r="V55" s="7">
        <f>Assumptions!$B68*180%</f>
        <v>1800</v>
      </c>
      <c r="W55" s="7">
        <f>Assumptions!$B68*180%</f>
        <v>1800</v>
      </c>
      <c r="X55" s="7">
        <f>Assumptions!$B68*180%</f>
        <v>1800</v>
      </c>
      <c r="Y55" s="7">
        <f>Assumptions!$B68*180%</f>
        <v>1800</v>
      </c>
      <c r="Z55" s="7">
        <f>Assumptions!$B68*180%</f>
        <v>1800</v>
      </c>
      <c r="AA55" s="7">
        <f>Assumptions!$B68*180%</f>
        <v>1800</v>
      </c>
      <c r="AD55" s="7">
        <f>Assumptions!$B68*280%</f>
        <v>2800</v>
      </c>
      <c r="AE55" s="7">
        <f>Assumptions!$B68*280%</f>
        <v>2800</v>
      </c>
      <c r="AF55" s="7">
        <f>Assumptions!$B68*280%</f>
        <v>2800</v>
      </c>
      <c r="AG55" s="7">
        <f>Assumptions!$B68*280%</f>
        <v>2800</v>
      </c>
      <c r="AH55" s="7">
        <f>Assumptions!$B68*280%</f>
        <v>2800</v>
      </c>
      <c r="AI55" s="7">
        <f>Assumptions!$B68*280%</f>
        <v>2800</v>
      </c>
      <c r="AJ55" s="7">
        <f>Assumptions!$B68*280%</f>
        <v>2800</v>
      </c>
      <c r="AK55" s="7">
        <f>Assumptions!$B68*280%</f>
        <v>2800</v>
      </c>
      <c r="AL55" s="7">
        <f>Assumptions!$B68*280%</f>
        <v>2800</v>
      </c>
      <c r="AM55" s="7">
        <f>Assumptions!$B68*280%</f>
        <v>2800</v>
      </c>
      <c r="AN55" s="7">
        <f>Assumptions!$B68*280%</f>
        <v>2800</v>
      </c>
      <c r="AO55" s="7">
        <f>Assumptions!$B68*280%</f>
        <v>2800</v>
      </c>
    </row>
    <row r="56" ht="15.75" customHeight="1">
      <c r="A56" s="1" t="s">
        <v>131</v>
      </c>
      <c r="B56" s="7">
        <f>Assumptions!$B69</f>
        <v>500</v>
      </c>
      <c r="C56" s="7">
        <f>Assumptions!$B69</f>
        <v>500</v>
      </c>
      <c r="D56" s="7">
        <f>Assumptions!$B69</f>
        <v>500</v>
      </c>
      <c r="E56" s="7">
        <f>Assumptions!$B69</f>
        <v>500</v>
      </c>
      <c r="F56" s="7">
        <f>Assumptions!$B69</f>
        <v>500</v>
      </c>
      <c r="G56" s="7">
        <f>Assumptions!$B69</f>
        <v>500</v>
      </c>
      <c r="H56" s="7">
        <f>Assumptions!$B69</f>
        <v>500</v>
      </c>
      <c r="I56" s="7">
        <f>Assumptions!$B69</f>
        <v>500</v>
      </c>
      <c r="J56" s="7">
        <f>Assumptions!$B69</f>
        <v>500</v>
      </c>
      <c r="K56" s="7">
        <f>Assumptions!$B69</f>
        <v>500</v>
      </c>
      <c r="L56" s="7">
        <f>Assumptions!$B69</f>
        <v>500</v>
      </c>
      <c r="M56" s="7">
        <f>Assumptions!$B69</f>
        <v>500</v>
      </c>
      <c r="N56" s="7">
        <f t="shared" si="12"/>
        <v>6000</v>
      </c>
      <c r="P56" s="7">
        <f>Assumptions!$B69*180%</f>
        <v>900</v>
      </c>
      <c r="Q56" s="7">
        <f>Assumptions!$B69*180%</f>
        <v>900</v>
      </c>
      <c r="R56" s="7">
        <f>Assumptions!$B69*180%</f>
        <v>900</v>
      </c>
      <c r="S56" s="7">
        <f>Assumptions!$B69*180%</f>
        <v>900</v>
      </c>
      <c r="T56" s="7">
        <f>Assumptions!$B69*180%</f>
        <v>900</v>
      </c>
      <c r="U56" s="7">
        <f>Assumptions!$B69*180%</f>
        <v>900</v>
      </c>
      <c r="V56" s="7">
        <f>Assumptions!$B69*180%</f>
        <v>900</v>
      </c>
      <c r="W56" s="7">
        <f>Assumptions!$B69*180%</f>
        <v>900</v>
      </c>
      <c r="X56" s="7">
        <f>Assumptions!$B69*180%</f>
        <v>900</v>
      </c>
      <c r="Y56" s="7">
        <f>Assumptions!$B69*180%</f>
        <v>900</v>
      </c>
      <c r="Z56" s="7">
        <f>Assumptions!$B69*180%</f>
        <v>900</v>
      </c>
      <c r="AA56" s="7">
        <f>Assumptions!$B69*180%</f>
        <v>900</v>
      </c>
      <c r="AD56" s="7">
        <f>Assumptions!$B69*280%</f>
        <v>1400</v>
      </c>
      <c r="AE56" s="7">
        <f>Assumptions!$B69*280%</f>
        <v>1400</v>
      </c>
      <c r="AF56" s="7">
        <f>Assumptions!$B69*280%</f>
        <v>1400</v>
      </c>
      <c r="AG56" s="7">
        <f>Assumptions!$B69*280%</f>
        <v>1400</v>
      </c>
      <c r="AH56" s="7">
        <f>Assumptions!$B69*280%</f>
        <v>1400</v>
      </c>
      <c r="AI56" s="7">
        <f>Assumptions!$B69*280%</f>
        <v>1400</v>
      </c>
      <c r="AJ56" s="7">
        <f>Assumptions!$B69*280%</f>
        <v>1400</v>
      </c>
      <c r="AK56" s="7">
        <f>Assumptions!$B69*280%</f>
        <v>1400</v>
      </c>
      <c r="AL56" s="7">
        <f>Assumptions!$B69*280%</f>
        <v>1400</v>
      </c>
      <c r="AM56" s="7">
        <f>Assumptions!$B69*280%</f>
        <v>1400</v>
      </c>
      <c r="AN56" s="7">
        <f>Assumptions!$B69*280%</f>
        <v>1400</v>
      </c>
      <c r="AO56" s="7">
        <f>Assumptions!$B69*280%</f>
        <v>1400</v>
      </c>
    </row>
    <row r="57" ht="15.75" customHeight="1">
      <c r="A57" s="1" t="s">
        <v>133</v>
      </c>
      <c r="B57" s="7">
        <f>Assumptions!$B70</f>
        <v>3000</v>
      </c>
      <c r="C57" s="7">
        <f>Assumptions!$B70</f>
        <v>3000</v>
      </c>
      <c r="D57" s="7">
        <f>Assumptions!$B70</f>
        <v>3000</v>
      </c>
      <c r="E57" s="7">
        <f>Assumptions!$B70</f>
        <v>3000</v>
      </c>
      <c r="F57" s="7">
        <f>Assumptions!$B70</f>
        <v>3000</v>
      </c>
      <c r="G57" s="7">
        <f>Assumptions!$B70</f>
        <v>3000</v>
      </c>
      <c r="H57" s="7">
        <f>Assumptions!$B70</f>
        <v>3000</v>
      </c>
      <c r="I57" s="7">
        <f>Assumptions!$B70</f>
        <v>3000</v>
      </c>
      <c r="J57" s="7">
        <f>Assumptions!$B70</f>
        <v>3000</v>
      </c>
      <c r="K57" s="7">
        <f>Assumptions!$B70</f>
        <v>3000</v>
      </c>
      <c r="L57" s="7">
        <f>Assumptions!$B70</f>
        <v>3000</v>
      </c>
      <c r="M57" s="7">
        <f>Assumptions!$B70</f>
        <v>3000</v>
      </c>
      <c r="N57" s="7">
        <f t="shared" si="12"/>
        <v>36000</v>
      </c>
      <c r="P57" s="7">
        <f>Assumptions!$B70*180%</f>
        <v>5400</v>
      </c>
      <c r="Q57" s="7">
        <f>Assumptions!$B70*180%</f>
        <v>5400</v>
      </c>
      <c r="R57" s="7">
        <f>Assumptions!$B70*180%</f>
        <v>5400</v>
      </c>
      <c r="S57" s="7">
        <f>Assumptions!$B70*180%</f>
        <v>5400</v>
      </c>
      <c r="T57" s="7">
        <f>Assumptions!$B70*180%</f>
        <v>5400</v>
      </c>
      <c r="U57" s="7">
        <f>Assumptions!$B70*180%</f>
        <v>5400</v>
      </c>
      <c r="V57" s="7">
        <f>Assumptions!$B70*180%</f>
        <v>5400</v>
      </c>
      <c r="W57" s="7">
        <f>Assumptions!$B70*180%</f>
        <v>5400</v>
      </c>
      <c r="X57" s="7">
        <f>Assumptions!$B70*180%</f>
        <v>5400</v>
      </c>
      <c r="Y57" s="7">
        <f>Assumptions!$B70*180%</f>
        <v>5400</v>
      </c>
      <c r="Z57" s="7">
        <f>Assumptions!$B70*180%</f>
        <v>5400</v>
      </c>
      <c r="AA57" s="7">
        <f>Assumptions!$B70*180%</f>
        <v>5400</v>
      </c>
      <c r="AD57" s="7">
        <f>Assumptions!$B70*280%</f>
        <v>8400</v>
      </c>
      <c r="AE57" s="7">
        <f>Assumptions!$B70*280%</f>
        <v>8400</v>
      </c>
      <c r="AF57" s="7">
        <f>Assumptions!$B70*280%</f>
        <v>8400</v>
      </c>
      <c r="AG57" s="7">
        <f>Assumptions!$B70*280%</f>
        <v>8400</v>
      </c>
      <c r="AH57" s="7">
        <f>Assumptions!$B70*280%</f>
        <v>8400</v>
      </c>
      <c r="AI57" s="7">
        <f>Assumptions!$B70*280%</f>
        <v>8400</v>
      </c>
      <c r="AJ57" s="7">
        <f>Assumptions!$B70*280%</f>
        <v>8400</v>
      </c>
      <c r="AK57" s="7">
        <f>Assumptions!$B70*280%</f>
        <v>8400</v>
      </c>
      <c r="AL57" s="7">
        <f>Assumptions!$B70*280%</f>
        <v>8400</v>
      </c>
      <c r="AM57" s="7">
        <f>Assumptions!$B70*280%</f>
        <v>8400</v>
      </c>
      <c r="AN57" s="7">
        <f>Assumptions!$B70*280%</f>
        <v>8400</v>
      </c>
      <c r="AO57" s="7">
        <f>Assumptions!$B70*280%</f>
        <v>8400</v>
      </c>
    </row>
    <row r="58" ht="15.75" customHeight="1">
      <c r="A58" s="1" t="s">
        <v>135</v>
      </c>
      <c r="B58" s="7">
        <f>Assumptions!$B71</f>
        <v>500</v>
      </c>
      <c r="C58" s="7">
        <f>Assumptions!$B71</f>
        <v>500</v>
      </c>
      <c r="D58" s="7">
        <f>Assumptions!$B71</f>
        <v>500</v>
      </c>
      <c r="E58" s="7">
        <f>Assumptions!$B71</f>
        <v>500</v>
      </c>
      <c r="F58" s="7">
        <f>Assumptions!$B71</f>
        <v>500</v>
      </c>
      <c r="G58" s="7">
        <f>Assumptions!$B71</f>
        <v>500</v>
      </c>
      <c r="H58" s="7">
        <f>Assumptions!$B71</f>
        <v>500</v>
      </c>
      <c r="I58" s="7">
        <f>Assumptions!$B71</f>
        <v>500</v>
      </c>
      <c r="J58" s="7">
        <f>Assumptions!$B71</f>
        <v>500</v>
      </c>
      <c r="K58" s="7">
        <f>Assumptions!$B71</f>
        <v>500</v>
      </c>
      <c r="L58" s="7">
        <f>Assumptions!$B71</f>
        <v>500</v>
      </c>
      <c r="M58" s="7">
        <f>Assumptions!$B71</f>
        <v>500</v>
      </c>
      <c r="N58" s="7">
        <f t="shared" si="12"/>
        <v>6000</v>
      </c>
      <c r="P58" s="7">
        <f>Assumptions!$B71*180%</f>
        <v>900</v>
      </c>
      <c r="Q58" s="7">
        <f>Assumptions!$B71*180%</f>
        <v>900</v>
      </c>
      <c r="R58" s="7">
        <f>Assumptions!$B71*180%</f>
        <v>900</v>
      </c>
      <c r="S58" s="7">
        <f>Assumptions!$B71*180%</f>
        <v>900</v>
      </c>
      <c r="T58" s="7">
        <f>Assumptions!$B71*180%</f>
        <v>900</v>
      </c>
      <c r="U58" s="7">
        <f>Assumptions!$B71*180%</f>
        <v>900</v>
      </c>
      <c r="V58" s="7">
        <f>Assumptions!$B71*180%</f>
        <v>900</v>
      </c>
      <c r="W58" s="7">
        <f>Assumptions!$B71*180%</f>
        <v>900</v>
      </c>
      <c r="X58" s="7">
        <f>Assumptions!$B71*180%</f>
        <v>900</v>
      </c>
      <c r="Y58" s="7">
        <f>Assumptions!$B71*180%</f>
        <v>900</v>
      </c>
      <c r="Z58" s="7">
        <f>Assumptions!$B71*180%</f>
        <v>900</v>
      </c>
      <c r="AA58" s="7">
        <f>Assumptions!$B71*180%</f>
        <v>900</v>
      </c>
      <c r="AD58" s="7">
        <f>Assumptions!$B71*280%</f>
        <v>1400</v>
      </c>
      <c r="AE58" s="7">
        <f>Assumptions!$B71*280%</f>
        <v>1400</v>
      </c>
      <c r="AF58" s="7">
        <f>Assumptions!$B71*280%</f>
        <v>1400</v>
      </c>
      <c r="AG58" s="7">
        <f>Assumptions!$B71*280%</f>
        <v>1400</v>
      </c>
      <c r="AH58" s="7">
        <f>Assumptions!$B71*280%</f>
        <v>1400</v>
      </c>
      <c r="AI58" s="7">
        <f>Assumptions!$B71*280%</f>
        <v>1400</v>
      </c>
      <c r="AJ58" s="7">
        <f>Assumptions!$B71*280%</f>
        <v>1400</v>
      </c>
      <c r="AK58" s="7">
        <f>Assumptions!$B71*280%</f>
        <v>1400</v>
      </c>
      <c r="AL58" s="7">
        <f>Assumptions!$B71*280%</f>
        <v>1400</v>
      </c>
      <c r="AM58" s="7">
        <f>Assumptions!$B71*280%</f>
        <v>1400</v>
      </c>
      <c r="AN58" s="7">
        <f>Assumptions!$B71*280%</f>
        <v>1400</v>
      </c>
      <c r="AO58" s="7">
        <f>Assumptions!$B71*280%</f>
        <v>1400</v>
      </c>
    </row>
    <row r="59" ht="15.75" customHeight="1">
      <c r="A59" s="1" t="s">
        <v>137</v>
      </c>
      <c r="B59" s="7">
        <f>Assumptions!$B72</f>
        <v>1000</v>
      </c>
      <c r="C59" s="7">
        <f>Assumptions!$B72</f>
        <v>1000</v>
      </c>
      <c r="D59" s="7">
        <f>Assumptions!$B72</f>
        <v>1000</v>
      </c>
      <c r="E59" s="7">
        <f>Assumptions!$B72</f>
        <v>1000</v>
      </c>
      <c r="F59" s="7">
        <f>Assumptions!$B72</f>
        <v>1000</v>
      </c>
      <c r="G59" s="7">
        <f>Assumptions!$B72</f>
        <v>1000</v>
      </c>
      <c r="H59" s="7">
        <f>Assumptions!$B72</f>
        <v>1000</v>
      </c>
      <c r="I59" s="7">
        <f>Assumptions!$B72</f>
        <v>1000</v>
      </c>
      <c r="J59" s="7">
        <f>Assumptions!$B72</f>
        <v>1000</v>
      </c>
      <c r="K59" s="7">
        <f>Assumptions!$B72</f>
        <v>1000</v>
      </c>
      <c r="L59" s="7">
        <f>Assumptions!$B72</f>
        <v>1000</v>
      </c>
      <c r="M59" s="7">
        <f>Assumptions!$B72</f>
        <v>1000</v>
      </c>
      <c r="N59" s="7">
        <f t="shared" si="12"/>
        <v>12000</v>
      </c>
      <c r="P59" s="7">
        <f>Assumptions!$B72*180%</f>
        <v>1800</v>
      </c>
      <c r="Q59" s="7">
        <f>Assumptions!$B72*180%</f>
        <v>1800</v>
      </c>
      <c r="R59" s="7">
        <f>Assumptions!$B72*180%</f>
        <v>1800</v>
      </c>
      <c r="S59" s="7">
        <f>Assumptions!$B72*180%</f>
        <v>1800</v>
      </c>
      <c r="T59" s="7">
        <f>Assumptions!$B72*180%</f>
        <v>1800</v>
      </c>
      <c r="U59" s="7">
        <f>Assumptions!$B72*180%</f>
        <v>1800</v>
      </c>
      <c r="V59" s="7">
        <f>Assumptions!$B72*180%</f>
        <v>1800</v>
      </c>
      <c r="W59" s="7">
        <f>Assumptions!$B72*180%</f>
        <v>1800</v>
      </c>
      <c r="X59" s="7">
        <f>Assumptions!$B72*180%</f>
        <v>1800</v>
      </c>
      <c r="Y59" s="7">
        <f>Assumptions!$B72*180%</f>
        <v>1800</v>
      </c>
      <c r="Z59" s="7">
        <f>Assumptions!$B72*180%</f>
        <v>1800</v>
      </c>
      <c r="AA59" s="7">
        <f>Assumptions!$B72*180%</f>
        <v>1800</v>
      </c>
      <c r="AD59" s="7">
        <f>Assumptions!$B72*280%</f>
        <v>2800</v>
      </c>
      <c r="AE59" s="7">
        <f>Assumptions!$B72*280%</f>
        <v>2800</v>
      </c>
      <c r="AF59" s="7">
        <f>Assumptions!$B72*280%</f>
        <v>2800</v>
      </c>
      <c r="AG59" s="7">
        <f>Assumptions!$B72*280%</f>
        <v>2800</v>
      </c>
      <c r="AH59" s="7">
        <f>Assumptions!$B72*280%</f>
        <v>2800</v>
      </c>
      <c r="AI59" s="7">
        <f>Assumptions!$B72*280%</f>
        <v>2800</v>
      </c>
      <c r="AJ59" s="7">
        <f>Assumptions!$B72*280%</f>
        <v>2800</v>
      </c>
      <c r="AK59" s="7">
        <f>Assumptions!$B72*280%</f>
        <v>2800</v>
      </c>
      <c r="AL59" s="7">
        <f>Assumptions!$B72*280%</f>
        <v>2800</v>
      </c>
      <c r="AM59" s="7">
        <f>Assumptions!$B72*280%</f>
        <v>2800</v>
      </c>
      <c r="AN59" s="7">
        <f>Assumptions!$B72*280%</f>
        <v>2800</v>
      </c>
      <c r="AO59" s="7">
        <f>Assumptions!$B72*280%</f>
        <v>2800</v>
      </c>
    </row>
    <row r="60" ht="15.75" customHeight="1">
      <c r="A60" s="1" t="s">
        <v>139</v>
      </c>
      <c r="B60" s="7">
        <f>Assumptions!$B73</f>
        <v>500</v>
      </c>
      <c r="C60" s="7">
        <f>Assumptions!$B73</f>
        <v>500</v>
      </c>
      <c r="D60" s="7">
        <f>Assumptions!$B73</f>
        <v>500</v>
      </c>
      <c r="E60" s="7">
        <f>Assumptions!$B73</f>
        <v>500</v>
      </c>
      <c r="F60" s="7">
        <f>Assumptions!$B73</f>
        <v>500</v>
      </c>
      <c r="G60" s="7">
        <f>Assumptions!$B73</f>
        <v>500</v>
      </c>
      <c r="H60" s="7">
        <f>Assumptions!$B73</f>
        <v>500</v>
      </c>
      <c r="I60" s="7">
        <f>Assumptions!$B73</f>
        <v>500</v>
      </c>
      <c r="J60" s="7">
        <f>Assumptions!$B73</f>
        <v>500</v>
      </c>
      <c r="K60" s="7">
        <f>Assumptions!$B73</f>
        <v>500</v>
      </c>
      <c r="L60" s="7">
        <f>Assumptions!$B73</f>
        <v>500</v>
      </c>
      <c r="M60" s="7">
        <f>Assumptions!$B73</f>
        <v>500</v>
      </c>
      <c r="N60" s="7">
        <f t="shared" si="12"/>
        <v>6000</v>
      </c>
      <c r="P60" s="7">
        <f>Assumptions!$B73*180%</f>
        <v>900</v>
      </c>
      <c r="Q60" s="7">
        <f>Assumptions!$B73*180%</f>
        <v>900</v>
      </c>
      <c r="R60" s="7">
        <f>Assumptions!$B73*180%</f>
        <v>900</v>
      </c>
      <c r="S60" s="7">
        <f>Assumptions!$B73*180%</f>
        <v>900</v>
      </c>
      <c r="T60" s="7">
        <f>Assumptions!$B73*180%</f>
        <v>900</v>
      </c>
      <c r="U60" s="7">
        <f>Assumptions!$B73*180%</f>
        <v>900</v>
      </c>
      <c r="V60" s="7">
        <f>Assumptions!$B73*180%</f>
        <v>900</v>
      </c>
      <c r="W60" s="7">
        <f>Assumptions!$B73*180%</f>
        <v>900</v>
      </c>
      <c r="X60" s="7">
        <f>Assumptions!$B73*180%</f>
        <v>900</v>
      </c>
      <c r="Y60" s="7">
        <f>Assumptions!$B73*180%</f>
        <v>900</v>
      </c>
      <c r="Z60" s="7">
        <f>Assumptions!$B73*180%</f>
        <v>900</v>
      </c>
      <c r="AA60" s="7">
        <f>Assumptions!$B73*180%</f>
        <v>900</v>
      </c>
      <c r="AD60" s="7">
        <f>Assumptions!$B73*280%</f>
        <v>1400</v>
      </c>
      <c r="AE60" s="7">
        <f>Assumptions!$B73*280%</f>
        <v>1400</v>
      </c>
      <c r="AF60" s="7">
        <f>Assumptions!$B73*280%</f>
        <v>1400</v>
      </c>
      <c r="AG60" s="7">
        <f>Assumptions!$B73*280%</f>
        <v>1400</v>
      </c>
      <c r="AH60" s="7">
        <f>Assumptions!$B73*280%</f>
        <v>1400</v>
      </c>
      <c r="AI60" s="7">
        <f>Assumptions!$B73*280%</f>
        <v>1400</v>
      </c>
      <c r="AJ60" s="7">
        <f>Assumptions!$B73*280%</f>
        <v>1400</v>
      </c>
      <c r="AK60" s="7">
        <f>Assumptions!$B73*280%</f>
        <v>1400</v>
      </c>
      <c r="AL60" s="7">
        <f>Assumptions!$B73*280%</f>
        <v>1400</v>
      </c>
      <c r="AM60" s="7">
        <f>Assumptions!$B73*280%</f>
        <v>1400</v>
      </c>
      <c r="AN60" s="7">
        <f>Assumptions!$B73*280%</f>
        <v>1400</v>
      </c>
      <c r="AO60" s="7">
        <f>Assumptions!$B73*280%</f>
        <v>1400</v>
      </c>
    </row>
    <row r="61" ht="15.75" customHeight="1">
      <c r="A61" s="1" t="s">
        <v>286</v>
      </c>
      <c r="B61" s="7">
        <f t="shared" ref="B61:N61" si="13">SUM(B55:B60)</f>
        <v>6500</v>
      </c>
      <c r="C61" s="7">
        <f t="shared" si="13"/>
        <v>6500</v>
      </c>
      <c r="D61" s="7">
        <f t="shared" si="13"/>
        <v>6500</v>
      </c>
      <c r="E61" s="7">
        <f t="shared" si="13"/>
        <v>6500</v>
      </c>
      <c r="F61" s="7">
        <f t="shared" si="13"/>
        <v>6500</v>
      </c>
      <c r="G61" s="7">
        <f t="shared" si="13"/>
        <v>6500</v>
      </c>
      <c r="H61" s="7">
        <f t="shared" si="13"/>
        <v>6500</v>
      </c>
      <c r="I61" s="7">
        <f t="shared" si="13"/>
        <v>6500</v>
      </c>
      <c r="J61" s="7">
        <f t="shared" si="13"/>
        <v>6500</v>
      </c>
      <c r="K61" s="7">
        <f t="shared" si="13"/>
        <v>6500</v>
      </c>
      <c r="L61" s="7">
        <f t="shared" si="13"/>
        <v>6500</v>
      </c>
      <c r="M61" s="7">
        <f t="shared" si="13"/>
        <v>6500</v>
      </c>
      <c r="N61" s="7">
        <f t="shared" si="13"/>
        <v>78000</v>
      </c>
      <c r="P61" s="7">
        <f t="shared" ref="P61:AA61" si="14">SUM(P55:P60)</f>
        <v>11700</v>
      </c>
      <c r="Q61" s="7">
        <f t="shared" si="14"/>
        <v>11700</v>
      </c>
      <c r="R61" s="7">
        <f t="shared" si="14"/>
        <v>11700</v>
      </c>
      <c r="S61" s="7">
        <f t="shared" si="14"/>
        <v>11700</v>
      </c>
      <c r="T61" s="7">
        <f t="shared" si="14"/>
        <v>11700</v>
      </c>
      <c r="U61" s="7">
        <f t="shared" si="14"/>
        <v>11700</v>
      </c>
      <c r="V61" s="7">
        <f t="shared" si="14"/>
        <v>11700</v>
      </c>
      <c r="W61" s="7">
        <f t="shared" si="14"/>
        <v>11700</v>
      </c>
      <c r="X61" s="7">
        <f t="shared" si="14"/>
        <v>11700</v>
      </c>
      <c r="Y61" s="7">
        <f t="shared" si="14"/>
        <v>11700</v>
      </c>
      <c r="Z61" s="7">
        <f t="shared" si="14"/>
        <v>11700</v>
      </c>
      <c r="AA61" s="7">
        <f t="shared" si="14"/>
        <v>11700</v>
      </c>
      <c r="AD61" s="7">
        <f t="shared" ref="AD61:AO61" si="15">SUM(AD55:AD60)</f>
        <v>18200</v>
      </c>
      <c r="AE61" s="7">
        <f t="shared" si="15"/>
        <v>18200</v>
      </c>
      <c r="AF61" s="7">
        <f t="shared" si="15"/>
        <v>18200</v>
      </c>
      <c r="AG61" s="7">
        <f t="shared" si="15"/>
        <v>18200</v>
      </c>
      <c r="AH61" s="7">
        <f t="shared" si="15"/>
        <v>18200</v>
      </c>
      <c r="AI61" s="7">
        <f t="shared" si="15"/>
        <v>18200</v>
      </c>
      <c r="AJ61" s="7">
        <f t="shared" si="15"/>
        <v>18200</v>
      </c>
      <c r="AK61" s="7">
        <f t="shared" si="15"/>
        <v>18200</v>
      </c>
      <c r="AL61" s="7">
        <f t="shared" si="15"/>
        <v>18200</v>
      </c>
      <c r="AM61" s="7">
        <f t="shared" si="15"/>
        <v>18200</v>
      </c>
      <c r="AN61" s="7">
        <f t="shared" si="15"/>
        <v>18200</v>
      </c>
      <c r="AO61" s="7">
        <f t="shared" si="15"/>
        <v>18200</v>
      </c>
    </row>
    <row r="62" ht="15.75" customHeight="1"/>
    <row r="63" ht="15.75" customHeight="1">
      <c r="A63" s="1" t="s">
        <v>287</v>
      </c>
      <c r="B63" s="7">
        <f t="shared" ref="B63:N63" si="16">B52+B61</f>
        <v>47645.83333</v>
      </c>
      <c r="C63" s="7">
        <f t="shared" si="16"/>
        <v>47645.83333</v>
      </c>
      <c r="D63" s="7">
        <f t="shared" si="16"/>
        <v>47645.83333</v>
      </c>
      <c r="E63" s="7">
        <f t="shared" si="16"/>
        <v>47645.83333</v>
      </c>
      <c r="F63" s="7">
        <f t="shared" si="16"/>
        <v>47645.83333</v>
      </c>
      <c r="G63" s="7">
        <f t="shared" si="16"/>
        <v>47645.83333</v>
      </c>
      <c r="H63" s="7">
        <f t="shared" si="16"/>
        <v>47645.83333</v>
      </c>
      <c r="I63" s="7">
        <f t="shared" si="16"/>
        <v>47645.83333</v>
      </c>
      <c r="J63" s="7">
        <f t="shared" si="16"/>
        <v>47645.83333</v>
      </c>
      <c r="K63" s="7">
        <f t="shared" si="16"/>
        <v>47645.83333</v>
      </c>
      <c r="L63" s="7">
        <f t="shared" si="16"/>
        <v>47645.83333</v>
      </c>
      <c r="M63" s="7">
        <f t="shared" si="16"/>
        <v>47645.83333</v>
      </c>
      <c r="N63" s="7">
        <f t="shared" si="16"/>
        <v>571750</v>
      </c>
      <c r="P63" s="7">
        <f t="shared" ref="P63:AA63" si="17">P52+P61</f>
        <v>85658.33333</v>
      </c>
      <c r="Q63" s="7">
        <f t="shared" si="17"/>
        <v>85658.33333</v>
      </c>
      <c r="R63" s="7">
        <f t="shared" si="17"/>
        <v>85658.33333</v>
      </c>
      <c r="S63" s="7">
        <f t="shared" si="17"/>
        <v>85658.33333</v>
      </c>
      <c r="T63" s="7">
        <f t="shared" si="17"/>
        <v>85658.33333</v>
      </c>
      <c r="U63" s="7">
        <f t="shared" si="17"/>
        <v>85658.33333</v>
      </c>
      <c r="V63" s="7">
        <f t="shared" si="17"/>
        <v>85658.33333</v>
      </c>
      <c r="W63" s="7">
        <f t="shared" si="17"/>
        <v>85658.33333</v>
      </c>
      <c r="X63" s="7">
        <f t="shared" si="17"/>
        <v>85658.33333</v>
      </c>
      <c r="Y63" s="7">
        <f t="shared" si="17"/>
        <v>85658.33333</v>
      </c>
      <c r="Z63" s="7">
        <f t="shared" si="17"/>
        <v>85658.33333</v>
      </c>
      <c r="AA63" s="7">
        <f t="shared" si="17"/>
        <v>85658.33333</v>
      </c>
      <c r="AD63" s="7">
        <f t="shared" ref="AD63:AO63" si="18">AD52+AD61</f>
        <v>133304.1667</v>
      </c>
      <c r="AE63" s="7">
        <f t="shared" si="18"/>
        <v>133304.1667</v>
      </c>
      <c r="AF63" s="7">
        <f t="shared" si="18"/>
        <v>133304.1667</v>
      </c>
      <c r="AG63" s="7">
        <f t="shared" si="18"/>
        <v>133304.1667</v>
      </c>
      <c r="AH63" s="7">
        <f t="shared" si="18"/>
        <v>133304.1667</v>
      </c>
      <c r="AI63" s="7">
        <f t="shared" si="18"/>
        <v>133304.1667</v>
      </c>
      <c r="AJ63" s="7">
        <f t="shared" si="18"/>
        <v>133304.1667</v>
      </c>
      <c r="AK63" s="7">
        <f t="shared" si="18"/>
        <v>133304.1667</v>
      </c>
      <c r="AL63" s="7">
        <f t="shared" si="18"/>
        <v>133304.1667</v>
      </c>
      <c r="AM63" s="7">
        <f t="shared" si="18"/>
        <v>133304.1667</v>
      </c>
      <c r="AN63" s="7">
        <f t="shared" si="18"/>
        <v>133304.1667</v>
      </c>
      <c r="AO63" s="7">
        <f t="shared" si="18"/>
        <v>133304.1667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4" width="12.29"/>
    <col customWidth="1" min="5" max="6" width="11.14"/>
    <col customWidth="1" min="7" max="8" width="12.29"/>
    <col customWidth="1" min="9" max="18" width="13.86"/>
    <col customWidth="1" min="19" max="19" width="37.29"/>
    <col customWidth="1" min="20" max="28" width="11.71"/>
    <col customWidth="1" min="29" max="37" width="13.29"/>
    <col customWidth="1" min="38" max="47" width="8.71"/>
  </cols>
  <sheetData>
    <row r="1">
      <c r="A1" s="22" t="s">
        <v>288</v>
      </c>
      <c r="B1" s="4" t="s">
        <v>166</v>
      </c>
      <c r="C1" s="4" t="s">
        <v>167</v>
      </c>
      <c r="D1" s="4" t="s">
        <v>168</v>
      </c>
      <c r="E1" s="4" t="s">
        <v>169</v>
      </c>
      <c r="F1" s="4" t="s">
        <v>170</v>
      </c>
      <c r="G1" s="4" t="s">
        <v>171</v>
      </c>
      <c r="H1" s="4" t="s">
        <v>172</v>
      </c>
      <c r="I1" s="4" t="s">
        <v>173</v>
      </c>
      <c r="J1" s="4" t="s">
        <v>174</v>
      </c>
      <c r="K1" s="4" t="s">
        <v>175</v>
      </c>
      <c r="L1" s="4" t="s">
        <v>176</v>
      </c>
      <c r="M1" s="4" t="s">
        <v>177</v>
      </c>
      <c r="N1" s="4" t="s">
        <v>289</v>
      </c>
      <c r="O1" s="4" t="s">
        <v>290</v>
      </c>
      <c r="P1" s="4" t="s">
        <v>291</v>
      </c>
      <c r="Q1" s="4" t="s">
        <v>292</v>
      </c>
      <c r="R1" s="4" t="s">
        <v>293</v>
      </c>
      <c r="S1" s="4" t="s">
        <v>294</v>
      </c>
      <c r="T1" s="4" t="s">
        <v>295</v>
      </c>
      <c r="U1" s="4" t="s">
        <v>296</v>
      </c>
      <c r="V1" s="4" t="s">
        <v>297</v>
      </c>
      <c r="W1" s="4" t="s">
        <v>298</v>
      </c>
      <c r="X1" s="4" t="s">
        <v>299</v>
      </c>
      <c r="Y1" s="4" t="s">
        <v>300</v>
      </c>
      <c r="Z1" s="4" t="s">
        <v>301</v>
      </c>
      <c r="AA1" s="4" t="s">
        <v>302</v>
      </c>
      <c r="AB1" s="4" t="s">
        <v>303</v>
      </c>
      <c r="AC1" s="4" t="s">
        <v>304</v>
      </c>
      <c r="AD1" s="4" t="s">
        <v>305</v>
      </c>
      <c r="AE1" s="4" t="s">
        <v>306</v>
      </c>
      <c r="AF1" s="4" t="s">
        <v>307</v>
      </c>
      <c r="AG1" s="4" t="s">
        <v>308</v>
      </c>
      <c r="AH1" s="4" t="s">
        <v>309</v>
      </c>
      <c r="AI1" s="4" t="s">
        <v>310</v>
      </c>
      <c r="AJ1" s="4" t="s">
        <v>311</v>
      </c>
      <c r="AK1" s="4" t="s">
        <v>312</v>
      </c>
      <c r="AL1" s="4"/>
      <c r="AM1" s="4"/>
      <c r="AN1" s="4"/>
      <c r="AO1" s="4"/>
      <c r="AP1" s="4"/>
      <c r="AQ1" s="4"/>
      <c r="AR1" s="4"/>
      <c r="AS1" s="4"/>
      <c r="AT1" s="4"/>
      <c r="AU1" s="4"/>
    </row>
    <row r="2">
      <c r="A2" s="4" t="s">
        <v>313</v>
      </c>
      <c r="B2" s="6">
        <v>0.0</v>
      </c>
      <c r="C2" s="17">
        <f t="shared" ref="C2:R2" si="1">B15</f>
        <v>85228.75</v>
      </c>
      <c r="D2" s="17">
        <f t="shared" si="1"/>
        <v>75704.89792</v>
      </c>
      <c r="E2" s="17">
        <f t="shared" si="1"/>
        <v>72122.89916</v>
      </c>
      <c r="F2" s="17">
        <f t="shared" si="1"/>
        <v>75283.49912</v>
      </c>
      <c r="G2" s="17">
        <f t="shared" si="1"/>
        <v>86109.6229</v>
      </c>
      <c r="H2" s="17">
        <f t="shared" si="1"/>
        <v>827435.4833</v>
      </c>
      <c r="I2" s="17">
        <f t="shared" si="1"/>
        <v>883315.098</v>
      </c>
      <c r="J2" s="17">
        <f t="shared" si="1"/>
        <v>1060984.961</v>
      </c>
      <c r="K2" s="17">
        <f t="shared" si="1"/>
        <v>1306243.007</v>
      </c>
      <c r="L2" s="17">
        <f t="shared" si="1"/>
        <v>1490758.582</v>
      </c>
      <c r="M2" s="17">
        <f t="shared" si="1"/>
        <v>1767883.207</v>
      </c>
      <c r="N2" s="17">
        <f t="shared" si="1"/>
        <v>2129172.863</v>
      </c>
      <c r="O2" s="17">
        <f t="shared" si="1"/>
        <v>2440315.999</v>
      </c>
      <c r="P2" s="17">
        <f t="shared" si="1"/>
        <v>2693861.976</v>
      </c>
      <c r="Q2" s="17">
        <f t="shared" si="1"/>
        <v>3055079.053</v>
      </c>
      <c r="R2" s="17">
        <f t="shared" si="1"/>
        <v>3508694.18</v>
      </c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>
      <c r="A3" s="22" t="s">
        <v>314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>
      <c r="A4" s="4" t="s">
        <v>315</v>
      </c>
      <c r="B4" s="17">
        <f t="array" ref="B4:AK4">TRANSPOSE('SaaS - Model'!C2:C37)</f>
        <v>5426.666667</v>
      </c>
      <c r="C4" s="17">
        <v>11551.408333333333</v>
      </c>
      <c r="D4" s="17">
        <v>18481.710874999997</v>
      </c>
      <c r="E4" s="17">
        <v>26341.11035604166</v>
      </c>
      <c r="F4" s="17">
        <v>35271.602581167695</v>
      </c>
      <c r="G4" s="17">
        <v>45436.4140207216</v>
      </c>
      <c r="H4" s="17">
        <v>57023.188318185596</v>
      </c>
      <c r="I4" s="17">
        <v>70247.6507188837</v>
      </c>
      <c r="J4" s="17">
        <v>85357.82210967588</v>
      </c>
      <c r="K4" s="17">
        <v>102638.86511285792</v>
      </c>
      <c r="L4" s="17">
        <v>122418.65704391625</v>
      </c>
      <c r="M4" s="17">
        <v>145074.19876419034</v>
      </c>
      <c r="N4" s="17">
        <v>169776.6359486432</v>
      </c>
      <c r="O4" s="17">
        <v>196735.81163133885</v>
      </c>
      <c r="P4" s="17">
        <v>226182.41963922195</v>
      </c>
      <c r="Q4" s="17">
        <v>258370.09336031054</v>
      </c>
      <c r="R4" s="17">
        <v>293577.7032827861</v>
      </c>
      <c r="S4" s="7">
        <v>332111.88418517925</v>
      </c>
      <c r="T4" s="7">
        <v>374309.81494577264</v>
      </c>
      <c r="U4" s="7">
        <v>420542.2762360696</v>
      </c>
      <c r="V4" s="7">
        <v>471217.0138895727</v>
      </c>
      <c r="W4" s="7">
        <v>526782.4385161565</v>
      </c>
      <c r="X4" s="7">
        <v>587731.6949892677</v>
      </c>
      <c r="Y4" s="7">
        <v>654607.138795828</v>
      </c>
      <c r="Z4" s="7">
        <v>728005.2599376265</v>
      </c>
      <c r="AA4" s="7">
        <v>805967.3167513317</v>
      </c>
      <c r="AB4" s="7">
        <v>888826.202680696</v>
      </c>
      <c r="AC4" s="7">
        <v>976937.768172696</v>
      </c>
      <c r="AD4" s="7">
        <v>1070682.4371788846</v>
      </c>
      <c r="AE4" s="7">
        <v>1170466.9365393291</v>
      </c>
      <c r="AF4" s="7">
        <v>1276726.1461589006</v>
      </c>
      <c r="AG4" s="7">
        <v>1389925.078439121</v>
      </c>
      <c r="AH4" s="7">
        <v>1510560.9960209806</v>
      </c>
      <c r="AI4" s="7">
        <v>1639165.677527781</v>
      </c>
      <c r="AJ4" s="7">
        <v>1776307.8416750873</v>
      </c>
      <c r="AK4" s="7">
        <v>1922595.7408403559</v>
      </c>
    </row>
    <row r="5">
      <c r="A5" s="4" t="s">
        <v>316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17">
        <f>'Enterprise Solutions'!B64</f>
        <v>0</v>
      </c>
      <c r="H5" s="17">
        <f>'Enterprise Solutions'!C64</f>
        <v>75600</v>
      </c>
      <c r="I5" s="17">
        <f>'Enterprise Solutions'!D64</f>
        <v>201600</v>
      </c>
      <c r="J5" s="17">
        <f>'Enterprise Solutions'!E64</f>
        <v>277200</v>
      </c>
      <c r="K5" s="17">
        <f>'Enterprise Solutions'!F64</f>
        <v>201600</v>
      </c>
      <c r="L5" s="17">
        <f>'Enterprise Solutions'!G64</f>
        <v>277200</v>
      </c>
      <c r="M5" s="17">
        <f>'Enterprise Solutions'!H64</f>
        <v>327600</v>
      </c>
      <c r="N5" s="17">
        <f>'Enterprise Solutions'!I64</f>
        <v>277200</v>
      </c>
      <c r="O5" s="17">
        <f>'Enterprise Solutions'!J64</f>
        <v>201600</v>
      </c>
      <c r="P5" s="17">
        <f>'Enterprise Solutions'!K64</f>
        <v>277200</v>
      </c>
      <c r="Q5" s="17">
        <f>'Enterprise Solutions'!L64</f>
        <v>327600</v>
      </c>
      <c r="R5" s="17">
        <f>'Enterprise Solutions'!M64</f>
        <v>277200</v>
      </c>
      <c r="S5" s="23" t="s">
        <v>317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>
      <c r="A6" s="4" t="s">
        <v>318</v>
      </c>
      <c r="B6" s="6">
        <v>100000.0</v>
      </c>
      <c r="C6" s="6">
        <v>0.0</v>
      </c>
      <c r="D6" s="6">
        <v>0.0</v>
      </c>
      <c r="E6" s="6">
        <v>0.0</v>
      </c>
      <c r="F6" s="6">
        <v>0.0</v>
      </c>
      <c r="G6" s="6">
        <v>750000.0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>
      <c r="A8" s="22" t="s">
        <v>319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>
      <c r="A9" s="4" t="s">
        <v>320</v>
      </c>
      <c r="B9" s="17">
        <f t="array" ref="B9:AK9">TRANSPOSE('SaaS - Model'!G2:G37 + 'SaaS - Model'!H2:H37) * (Assumptions!$B$54 + Assumptions!$B$55)</f>
        <v>781.25</v>
      </c>
      <c r="C9" s="17">
        <v>1658.59375</v>
      </c>
      <c r="D9" s="17">
        <v>2647.0429687499995</v>
      </c>
      <c r="E9" s="17">
        <v>3763.843730468749</v>
      </c>
      <c r="F9" s="17">
        <v>5028.812132324218</v>
      </c>
      <c r="G9" s="17">
        <v>6464.720296729979</v>
      </c>
      <c r="H9" s="17">
        <v>8097.740259137309</v>
      </c>
      <c r="I9" s="17">
        <v>9957.954424591062</v>
      </c>
      <c r="J9" s="17">
        <v>12079.942578794307</v>
      </c>
      <c r="K9" s="17">
        <v>14503.456937275592</v>
      </c>
      <c r="L9" s="17">
        <v>17274.19843877925</v>
      </c>
      <c r="M9" s="17">
        <v>20444.709469905138</v>
      </c>
      <c r="N9" s="17">
        <v>23893.666447157564</v>
      </c>
      <c r="O9" s="17">
        <v>27650.001806179294</v>
      </c>
      <c r="P9" s="17">
        <v>31745.50964565167</v>
      </c>
      <c r="Q9" s="17">
        <v>36215.13282519363</v>
      </c>
      <c r="R9" s="17">
        <v>41097.27874534014</v>
      </c>
      <c r="S9" s="7">
        <v>46434.16667863565</v>
      </c>
      <c r="T9" s="7">
        <v>52272.20980775708</v>
      </c>
      <c r="U9" s="7">
        <v>58662.43544214825</v>
      </c>
      <c r="V9" s="7">
        <v>65660.94723177247</v>
      </c>
      <c r="W9" s="7">
        <v>73329.4335784282</v>
      </c>
      <c r="X9" s="7">
        <v>81735.72686509503</v>
      </c>
      <c r="Y9" s="7">
        <v>90954.41858580298</v>
      </c>
      <c r="Z9" s="7">
        <v>101067.53596674632</v>
      </c>
      <c r="AA9" s="7">
        <v>111788.84911369576</v>
      </c>
      <c r="AB9" s="7">
        <v>123163.73340191544</v>
      </c>
      <c r="AC9" s="7">
        <v>135240.65928281684</v>
      </c>
      <c r="AD9" s="7">
        <v>148071.41133254225</v>
      </c>
      <c r="AE9" s="7">
        <v>161711.32256279292</v>
      </c>
      <c r="AF9" s="7">
        <v>176219.5250643836</v>
      </c>
      <c r="AG9" s="7">
        <v>191659.21812887647</v>
      </c>
      <c r="AH9" s="7">
        <v>208097.95507375908</v>
      </c>
      <c r="AI9" s="7">
        <v>225607.95008235486</v>
      </c>
      <c r="AJ9" s="7">
        <v>244266.40646137885</v>
      </c>
      <c r="AK9" s="7">
        <v>264155.86781719985</v>
      </c>
    </row>
    <row r="10">
      <c r="A10" s="4" t="s">
        <v>321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17" t="str">
        <f t="array" ref="G10:R10">'Enterprise Solutions'!B84:M84</f>
        <v>€0</v>
      </c>
      <c r="H10" s="17">
        <v>21000.0</v>
      </c>
      <c r="I10" s="17">
        <v>36574.0</v>
      </c>
      <c r="J10" s="17">
        <v>57574.0</v>
      </c>
      <c r="K10" s="17">
        <v>57574.0</v>
      </c>
      <c r="L10" s="17">
        <v>57574.0</v>
      </c>
      <c r="M10" s="17">
        <v>43294.0</v>
      </c>
      <c r="N10" s="17">
        <v>64294.0</v>
      </c>
      <c r="O10" s="17">
        <v>64294.0</v>
      </c>
      <c r="P10" s="17">
        <v>57574.0</v>
      </c>
      <c r="Q10" s="17">
        <v>43294.0</v>
      </c>
      <c r="R10" s="17">
        <v>64294.0</v>
      </c>
      <c r="S10" s="23" t="s">
        <v>317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>
      <c r="A11" s="4" t="s">
        <v>284</v>
      </c>
      <c r="B11" s="6">
        <f>SUM('SaaS - Model'!B49:B50)</f>
        <v>12916.66667</v>
      </c>
      <c r="C11" s="6">
        <f>SUM('SaaS - Model'!C49:C50)</f>
        <v>12916.66667</v>
      </c>
      <c r="D11" s="6">
        <f>SUM('SaaS - Model'!D49:D50)</f>
        <v>12916.66667</v>
      </c>
      <c r="E11" s="6">
        <f>SUM('SaaS - Model'!E49:E50)</f>
        <v>12916.66667</v>
      </c>
      <c r="F11" s="6">
        <f>SUM('SaaS - Model'!F49:F50)</f>
        <v>12916.66667</v>
      </c>
      <c r="G11" s="17">
        <f t="array" ref="G11:AP11">TRANSPOSE('SaaS - Model'!I2:I37)</f>
        <v>41145.83333</v>
      </c>
      <c r="H11" s="17">
        <v>41145.83333333333</v>
      </c>
      <c r="I11" s="17">
        <v>41145.83333333333</v>
      </c>
      <c r="J11" s="17">
        <v>41145.83333333333</v>
      </c>
      <c r="K11" s="17">
        <v>41145.83333333333</v>
      </c>
      <c r="L11" s="17">
        <v>41145.83333333333</v>
      </c>
      <c r="M11" s="17">
        <v>41145.83333333333</v>
      </c>
      <c r="N11" s="17">
        <v>41145.83333333333</v>
      </c>
      <c r="O11" s="17">
        <v>41145.83333333333</v>
      </c>
      <c r="P11" s="17">
        <v>41145.83333333333</v>
      </c>
      <c r="Q11" s="17">
        <v>41145.83333333333</v>
      </c>
      <c r="R11" s="17">
        <v>41145.83333333333</v>
      </c>
      <c r="S11" s="7">
        <v>73958.33333333333</v>
      </c>
      <c r="T11" s="7">
        <v>73958.33333333333</v>
      </c>
      <c r="U11" s="7">
        <v>73958.33333333333</v>
      </c>
      <c r="V11" s="7">
        <v>73958.33333333333</v>
      </c>
      <c r="W11" s="7">
        <v>73958.33333333333</v>
      </c>
      <c r="X11" s="7">
        <v>73958.33333333333</v>
      </c>
      <c r="Y11" s="7">
        <v>73958.33333333333</v>
      </c>
      <c r="Z11" s="7">
        <v>73958.33333333333</v>
      </c>
      <c r="AA11" s="7">
        <v>73958.33333333333</v>
      </c>
      <c r="AB11" s="7">
        <v>73958.33333333333</v>
      </c>
      <c r="AC11" s="7">
        <v>73958.33333333333</v>
      </c>
      <c r="AD11" s="7">
        <v>73958.33333333333</v>
      </c>
      <c r="AE11" s="7">
        <v>115104.16666666669</v>
      </c>
      <c r="AF11" s="7">
        <v>115104.16666666669</v>
      </c>
      <c r="AG11" s="7">
        <v>115104.16666666669</v>
      </c>
      <c r="AH11" s="7">
        <v>115104.16666666669</v>
      </c>
      <c r="AI11" s="7">
        <v>115104.16666666669</v>
      </c>
      <c r="AJ11" s="7">
        <v>115104.16666666669</v>
      </c>
      <c r="AK11" s="7">
        <v>115104.16666666669</v>
      </c>
      <c r="AL11" s="17">
        <v>115104.16666666669</v>
      </c>
      <c r="AM11" s="17">
        <v>115104.16666666669</v>
      </c>
      <c r="AN11" s="17">
        <v>115104.16666666669</v>
      </c>
      <c r="AO11" s="17">
        <v>115104.16666666669</v>
      </c>
      <c r="AP11" s="17">
        <v>115104.16666666669</v>
      </c>
    </row>
    <row r="12">
      <c r="A12" s="4" t="s">
        <v>322</v>
      </c>
      <c r="B12" s="17">
        <f t="array" ref="B12:AK12">TRANSPOSE('SaaS - Model'!J2:J37)</f>
        <v>6500</v>
      </c>
      <c r="C12" s="17">
        <v>6500.0</v>
      </c>
      <c r="D12" s="17">
        <v>6500.0</v>
      </c>
      <c r="E12" s="17">
        <v>6500.0</v>
      </c>
      <c r="F12" s="17">
        <v>6500.0</v>
      </c>
      <c r="G12" s="17">
        <v>6500.0</v>
      </c>
      <c r="H12" s="17">
        <v>6500.0</v>
      </c>
      <c r="I12" s="17">
        <v>6500.0</v>
      </c>
      <c r="J12" s="17">
        <v>6500.0</v>
      </c>
      <c r="K12" s="17">
        <v>6500.0</v>
      </c>
      <c r="L12" s="17">
        <v>6500.0</v>
      </c>
      <c r="M12" s="17">
        <v>6500.0</v>
      </c>
      <c r="N12" s="17">
        <v>6500.0</v>
      </c>
      <c r="O12" s="17">
        <v>11700.0</v>
      </c>
      <c r="P12" s="17">
        <v>11700.0</v>
      </c>
      <c r="Q12" s="17">
        <v>11700.0</v>
      </c>
      <c r="R12" s="17">
        <v>11700.0</v>
      </c>
      <c r="S12" s="7">
        <v>11700.0</v>
      </c>
      <c r="T12" s="7">
        <v>11700.0</v>
      </c>
      <c r="U12" s="7">
        <v>11700.0</v>
      </c>
      <c r="V12" s="7">
        <v>11700.0</v>
      </c>
      <c r="W12" s="7">
        <v>11700.0</v>
      </c>
      <c r="X12" s="7">
        <v>11700.0</v>
      </c>
      <c r="Y12" s="7">
        <v>11700.0</v>
      </c>
      <c r="Z12" s="7">
        <v>11700.0</v>
      </c>
      <c r="AA12" s="7">
        <v>18200.0</v>
      </c>
      <c r="AB12" s="7">
        <v>18200.0</v>
      </c>
      <c r="AC12" s="7">
        <v>18200.0</v>
      </c>
      <c r="AD12" s="7">
        <v>18200.0</v>
      </c>
      <c r="AE12" s="7">
        <v>18200.0</v>
      </c>
      <c r="AF12" s="7">
        <v>18200.0</v>
      </c>
      <c r="AG12" s="7">
        <v>18200.0</v>
      </c>
      <c r="AH12" s="7">
        <v>18200.0</v>
      </c>
      <c r="AI12" s="7">
        <v>18200.0</v>
      </c>
      <c r="AJ12" s="7">
        <v>18200.0</v>
      </c>
      <c r="AK12" s="7">
        <v>18200.0</v>
      </c>
    </row>
    <row r="13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>
      <c r="A14" s="4" t="s">
        <v>323</v>
      </c>
      <c r="B14" s="17">
        <f t="shared" ref="B14:R14" si="2">(B4+B5+B6) - (B9+B10+B11+B12)</f>
        <v>85228.75</v>
      </c>
      <c r="C14" s="17">
        <f t="shared" si="2"/>
        <v>-9523.852083</v>
      </c>
      <c r="D14" s="17">
        <f t="shared" si="2"/>
        <v>-3581.99876</v>
      </c>
      <c r="E14" s="17">
        <f t="shared" si="2"/>
        <v>3160.599959</v>
      </c>
      <c r="F14" s="17">
        <f t="shared" si="2"/>
        <v>10826.12378</v>
      </c>
      <c r="G14" s="17">
        <f t="shared" si="2"/>
        <v>741325.8604</v>
      </c>
      <c r="H14" s="17">
        <f t="shared" si="2"/>
        <v>55879.61473</v>
      </c>
      <c r="I14" s="17">
        <f t="shared" si="2"/>
        <v>177669.863</v>
      </c>
      <c r="J14" s="17">
        <f t="shared" si="2"/>
        <v>245258.0462</v>
      </c>
      <c r="K14" s="17">
        <f t="shared" si="2"/>
        <v>184515.5748</v>
      </c>
      <c r="L14" s="17">
        <f t="shared" si="2"/>
        <v>277124.6253</v>
      </c>
      <c r="M14" s="17">
        <f t="shared" si="2"/>
        <v>361289.656</v>
      </c>
      <c r="N14" s="17">
        <f t="shared" si="2"/>
        <v>311143.1362</v>
      </c>
      <c r="O14" s="17">
        <f t="shared" si="2"/>
        <v>253545.9765</v>
      </c>
      <c r="P14" s="17">
        <f t="shared" si="2"/>
        <v>361217.0767</v>
      </c>
      <c r="Q14" s="17">
        <f t="shared" si="2"/>
        <v>453615.1272</v>
      </c>
      <c r="R14" s="17">
        <f t="shared" si="2"/>
        <v>412540.5912</v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>
      <c r="A15" s="4" t="s">
        <v>324</v>
      </c>
      <c r="B15" s="17">
        <f t="shared" ref="B15:R15" si="3">B2+B14</f>
        <v>85228.75</v>
      </c>
      <c r="C15" s="17">
        <f t="shared" si="3"/>
        <v>75704.89792</v>
      </c>
      <c r="D15" s="17">
        <f t="shared" si="3"/>
        <v>72122.89916</v>
      </c>
      <c r="E15" s="17">
        <f t="shared" si="3"/>
        <v>75283.49912</v>
      </c>
      <c r="F15" s="17">
        <f t="shared" si="3"/>
        <v>86109.6229</v>
      </c>
      <c r="G15" s="17">
        <f t="shared" si="3"/>
        <v>827435.4833</v>
      </c>
      <c r="H15" s="17">
        <f t="shared" si="3"/>
        <v>883315.098</v>
      </c>
      <c r="I15" s="17">
        <f t="shared" si="3"/>
        <v>1060984.961</v>
      </c>
      <c r="J15" s="17">
        <f t="shared" si="3"/>
        <v>1306243.007</v>
      </c>
      <c r="K15" s="17">
        <f t="shared" si="3"/>
        <v>1490758.582</v>
      </c>
      <c r="L15" s="17">
        <f t="shared" si="3"/>
        <v>1767883.207</v>
      </c>
      <c r="M15" s="17">
        <f t="shared" si="3"/>
        <v>2129172.863</v>
      </c>
      <c r="N15" s="17">
        <f t="shared" si="3"/>
        <v>2440315.999</v>
      </c>
      <c r="O15" s="17">
        <f t="shared" si="3"/>
        <v>2693861.976</v>
      </c>
      <c r="P15" s="17">
        <f t="shared" si="3"/>
        <v>3055079.053</v>
      </c>
      <c r="Q15" s="17">
        <f t="shared" si="3"/>
        <v>3508694.18</v>
      </c>
      <c r="R15" s="17">
        <f t="shared" si="3"/>
        <v>3921234.771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>
      <c r="A17" s="4" t="s">
        <v>325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>
      <c r="A18" s="4" t="s">
        <v>326</v>
      </c>
      <c r="B18" s="17">
        <f t="shared" ref="B18:R18" si="4">IF(B14&lt;0, -B14, 0)</f>
        <v>0</v>
      </c>
      <c r="C18" s="17">
        <f t="shared" si="4"/>
        <v>9523.852083</v>
      </c>
      <c r="D18" s="17">
        <f t="shared" si="4"/>
        <v>3581.99876</v>
      </c>
      <c r="E18" s="17">
        <f t="shared" si="4"/>
        <v>0</v>
      </c>
      <c r="F18" s="17">
        <f t="shared" si="4"/>
        <v>0</v>
      </c>
      <c r="G18" s="17">
        <f t="shared" si="4"/>
        <v>0</v>
      </c>
      <c r="H18" s="17">
        <f t="shared" si="4"/>
        <v>0</v>
      </c>
      <c r="I18" s="17">
        <f t="shared" si="4"/>
        <v>0</v>
      </c>
      <c r="J18" s="17">
        <f t="shared" si="4"/>
        <v>0</v>
      </c>
      <c r="K18" s="17">
        <f t="shared" si="4"/>
        <v>0</v>
      </c>
      <c r="L18" s="17">
        <f t="shared" si="4"/>
        <v>0</v>
      </c>
      <c r="M18" s="17">
        <f t="shared" si="4"/>
        <v>0</v>
      </c>
      <c r="N18" s="17">
        <f t="shared" si="4"/>
        <v>0</v>
      </c>
      <c r="O18" s="17">
        <f t="shared" si="4"/>
        <v>0</v>
      </c>
      <c r="P18" s="17">
        <f t="shared" si="4"/>
        <v>0</v>
      </c>
      <c r="Q18" s="17">
        <f t="shared" si="4"/>
        <v>0</v>
      </c>
      <c r="R18" s="17">
        <f t="shared" si="4"/>
        <v>0</v>
      </c>
    </row>
    <row r="19">
      <c r="A19" s="4" t="s">
        <v>327</v>
      </c>
      <c r="B19" s="1" t="str">
        <f t="shared" ref="B19:C19" si="5">IF(B18&gt;0, B15/B18, "N/A")</f>
        <v>N/A</v>
      </c>
      <c r="C19" s="3">
        <f t="shared" si="5"/>
        <v>7.948978759</v>
      </c>
      <c r="D19" s="3" t="str">
        <f>IF(D20&gt;0, D15/D20, "N/A")</f>
        <v>N/A</v>
      </c>
      <c r="E19" s="1" t="str">
        <f t="shared" ref="E19:R19" si="6">IF(E18&gt;0, E15/E18, "N/A")</f>
        <v>N/A</v>
      </c>
      <c r="F19" s="1" t="str">
        <f t="shared" si="6"/>
        <v>N/A</v>
      </c>
      <c r="G19" s="1" t="str">
        <f t="shared" si="6"/>
        <v>N/A</v>
      </c>
      <c r="H19" s="1" t="str">
        <f t="shared" si="6"/>
        <v>N/A</v>
      </c>
      <c r="I19" s="1" t="str">
        <f t="shared" si="6"/>
        <v>N/A</v>
      </c>
      <c r="J19" s="1" t="str">
        <f t="shared" si="6"/>
        <v>N/A</v>
      </c>
      <c r="K19" s="1" t="str">
        <f t="shared" si="6"/>
        <v>N/A</v>
      </c>
      <c r="L19" s="1" t="str">
        <f t="shared" si="6"/>
        <v>N/A</v>
      </c>
      <c r="M19" s="1" t="str">
        <f t="shared" si="6"/>
        <v>N/A</v>
      </c>
      <c r="N19" s="1" t="str">
        <f t="shared" si="6"/>
        <v>N/A</v>
      </c>
      <c r="O19" s="1" t="str">
        <f t="shared" si="6"/>
        <v>N/A</v>
      </c>
      <c r="P19" s="1" t="str">
        <f t="shared" si="6"/>
        <v>N/A</v>
      </c>
      <c r="Q19" s="1" t="str">
        <f t="shared" si="6"/>
        <v>N/A</v>
      </c>
      <c r="R19" s="1" t="str">
        <f t="shared" si="6"/>
        <v>N/A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20" t="s">
        <v>227</v>
      </c>
      <c r="C1" s="20" t="s">
        <v>229</v>
      </c>
      <c r="D1" s="20" t="s">
        <v>237</v>
      </c>
      <c r="E1" s="20" t="s">
        <v>328</v>
      </c>
      <c r="F1" s="20" t="s">
        <v>329</v>
      </c>
      <c r="G1" s="20" t="s">
        <v>330</v>
      </c>
      <c r="H1" s="20" t="s">
        <v>331</v>
      </c>
    </row>
    <row r="2">
      <c r="A2" s="20">
        <v>0.0</v>
      </c>
      <c r="B2" s="1" t="s">
        <v>245</v>
      </c>
      <c r="C2" s="1">
        <v>1245.01</v>
      </c>
      <c r="D2" s="1">
        <v>404314.75</v>
      </c>
      <c r="E2" s="1">
        <v>-403069.74</v>
      </c>
      <c r="F2" s="1">
        <v>2313.06</v>
      </c>
      <c r="G2" s="1">
        <v>-6611.11</v>
      </c>
      <c r="H2" s="1">
        <v>-34450.98</v>
      </c>
    </row>
    <row r="3">
      <c r="A3" s="20">
        <v>1.0</v>
      </c>
      <c r="B3" s="1" t="s">
        <v>257</v>
      </c>
      <c r="C3" s="1">
        <v>7728.03</v>
      </c>
      <c r="D3" s="1">
        <v>1285438.81</v>
      </c>
      <c r="E3" s="1">
        <v>-1277710.78</v>
      </c>
      <c r="F3" s="1">
        <v>9478.29</v>
      </c>
      <c r="G3" s="1">
        <v>-6611.11</v>
      </c>
      <c r="H3" s="1">
        <v>-17225.36</v>
      </c>
    </row>
    <row r="4">
      <c r="A4" s="20">
        <v>2.0</v>
      </c>
      <c r="B4" s="1" t="s">
        <v>269</v>
      </c>
      <c r="C4" s="1">
        <v>23508.61</v>
      </c>
      <c r="D4" s="1">
        <v>2774699.62</v>
      </c>
      <c r="E4" s="1">
        <v>-2751191.01</v>
      </c>
      <c r="F4" s="1">
        <v>25199.33</v>
      </c>
      <c r="G4" s="1">
        <v>-6611.11</v>
      </c>
      <c r="H4" s="1">
        <v>-11841.05</v>
      </c>
    </row>
    <row r="5">
      <c r="A5" s="20">
        <v>3.0</v>
      </c>
      <c r="B5" s="1" t="s">
        <v>332</v>
      </c>
      <c r="C5" s="1">
        <v>17444.11</v>
      </c>
      <c r="D5" s="1">
        <v>1751370.99</v>
      </c>
      <c r="E5" s="1">
        <v>-1733926.88</v>
      </c>
      <c r="F5" s="1">
        <v>35343.36</v>
      </c>
      <c r="G5" s="1">
        <v>-6611.11</v>
      </c>
      <c r="H5" s="1">
        <v>-9970.48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